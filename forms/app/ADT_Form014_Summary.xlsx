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A message shown when the constraint expression evaluates to false.
Can be translated.</t>
      </text>
    </comment>
    <comment authorId="0" ref="P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F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<sst xmlns="http://schemas.openxmlformats.org/spreadsheetml/2006/main" count="2495" uniqueCount="1297">
  <si>
    <t>list_name</t>
  </si>
  <si>
    <t>form_title</t>
  </si>
  <si>
    <t>label</t>
  </si>
  <si>
    <t>form_id</t>
  </si>
  <si>
    <t>version</t>
  </si>
  <si>
    <t>instance_name</t>
  </si>
  <si>
    <t>default_language</t>
  </si>
  <si>
    <t>path</t>
  </si>
  <si>
    <t>style</t>
  </si>
  <si>
    <t>Adult Summary Form</t>
  </si>
  <si>
    <t>type</t>
  </si>
  <si>
    <t>ADT_Form014_Summary</t>
  </si>
  <si>
    <t>name</t>
  </si>
  <si>
    <t>label::en</t>
  </si>
  <si>
    <t>label::fr</t>
  </si>
  <si>
    <t>label::cr</t>
  </si>
  <si>
    <t>hint::en</t>
  </si>
  <si>
    <t>hint::fr</t>
  </si>
  <si>
    <t>hint::cr</t>
  </si>
  <si>
    <t>en</t>
  </si>
  <si>
    <t>data</t>
  </si>
  <si>
    <t>pages</t>
  </si>
  <si>
    <t>required</t>
  </si>
  <si>
    <t>relevant</t>
  </si>
  <si>
    <t>appearance</t>
  </si>
  <si>
    <t>default</t>
  </si>
  <si>
    <t>drug_confirmation</t>
  </si>
  <si>
    <t>constraint</t>
  </si>
  <si>
    <t>constraint_message::en</t>
  </si>
  <si>
    <t>confirmation</t>
  </si>
  <si>
    <t>constraint_message::fr</t>
  </si>
  <si>
    <t>I confirm I have distributed the type and number of drugs listed above.</t>
  </si>
  <si>
    <t>constraint_message::cr</t>
  </si>
  <si>
    <t>calculation</t>
  </si>
  <si>
    <t>trigger</t>
  </si>
  <si>
    <t>choice_filter</t>
  </si>
  <si>
    <t>parameters</t>
  </si>
  <si>
    <t>repeat_count</t>
  </si>
  <si>
    <t>note</t>
  </si>
  <si>
    <t>image</t>
  </si>
  <si>
    <t xml:space="preserve">audio </t>
  </si>
  <si>
    <t>video</t>
  </si>
  <si>
    <t>additional_medication</t>
  </si>
  <si>
    <t>paracetamol</t>
  </si>
  <si>
    <t>instance::db-doc</t>
  </si>
  <si>
    <t>Paracetamol</t>
  </si>
  <si>
    <t>instance::db-doc-ref</t>
  </si>
  <si>
    <t>iron_folic_acid</t>
  </si>
  <si>
    <t>Iron and Folic Acid</t>
  </si>
  <si>
    <t>begin group</t>
  </si>
  <si>
    <t>refer_location</t>
  </si>
  <si>
    <t>zl_cls</t>
  </si>
  <si>
    <t>Zanmi Lsante health center in Cerca La Source</t>
  </si>
  <si>
    <t>inputs</t>
  </si>
  <si>
    <t>NO_LABEL</t>
  </si>
  <si>
    <t>./source = 'user'</t>
  </si>
  <si>
    <t>hopital_sainte_therese</t>
  </si>
  <si>
    <t>Hopital Sainte Therese</t>
  </si>
  <si>
    <t>field-list</t>
  </si>
  <si>
    <t>hpital_alma_mater</t>
  </si>
  <si>
    <t>Hopital Alma Mater</t>
  </si>
  <si>
    <t>other</t>
  </si>
  <si>
    <t>Other</t>
  </si>
  <si>
    <t>hidden</t>
  </si>
  <si>
    <t>source</t>
  </si>
  <si>
    <t>Source</t>
  </si>
  <si>
    <t>user</t>
  </si>
  <si>
    <t>yes_no</t>
  </si>
  <si>
    <t>yes</t>
  </si>
  <si>
    <t>Yes</t>
  </si>
  <si>
    <t>no</t>
  </si>
  <si>
    <t>No</t>
  </si>
  <si>
    <t>source_id</t>
  </si>
  <si>
    <t>Source ID</t>
  </si>
  <si>
    <t>User</t>
  </si>
  <si>
    <t>string</t>
  </si>
  <si>
    <t>contact_id</t>
  </si>
  <si>
    <t>Contact ID</t>
  </si>
  <si>
    <t>select-contact type-person</t>
  </si>
  <si>
    <t>parent</t>
  </si>
  <si>
    <t>_id</t>
  </si>
  <si>
    <t>ParentID</t>
  </si>
  <si>
    <t>end group</t>
  </si>
  <si>
    <t>facility_id</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</si>
  <si>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</si>
  <si>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</si>
  <si>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</si>
  <si>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</si>
  <si>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</si>
  <si>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</si>
  <si>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</si>
  <si>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</si>
  <si>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</si>
  <si>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</si>
  <si>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</si>
  <si>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</si>
  <si>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</si>
  <si>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</si>
  <si>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</si>
  <si>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</si>
  <si>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</si>
  <si>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</si>
  <si>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</si>
  <si>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</si>
  <si>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</si>
  <si>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</si>
  <si>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</si>
  <si>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</si>
  <si>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</si>
  <si>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</si>
  <si>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</si>
  <si>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</si>
  <si>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</si>
  <si>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</si>
  <si>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</si>
  <si>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</si>
  <si>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</si>
  <si>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</si>
  <si>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</si>
  <si>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</si>
  <si>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</si>
  <si>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</si>
  <si>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</si>
  <si>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_result_hyperglycemia_mild</t>
  </si>
  <si>
    <t xml:space="preserve">Passed from task </t>
  </si>
  <si>
    <t>_result_hyperglycemia_moderate</t>
  </si>
  <si>
    <t>_result_hyperglycemia_severe</t>
  </si>
  <si>
    <t>_metformin_dosage</t>
  </si>
  <si>
    <t>_result_gastritis_serious</t>
  </si>
  <si>
    <t>_result_gastritis_not_serious</t>
  </si>
  <si>
    <t>_h_pylori_rapid_test_result</t>
  </si>
  <si>
    <t>_result_risk_of_cholera</t>
  </si>
  <si>
    <t>_result_acute_diarrhea</t>
  </si>
  <si>
    <t>_result_amoeba_giardia</t>
  </si>
  <si>
    <t>_result_appendicitis_cholecystitis</t>
  </si>
  <si>
    <t>_result_risk_malaria</t>
  </si>
  <si>
    <t>_malaria_rapid_test_result</t>
  </si>
  <si>
    <t>_result_hypertensive_urgency</t>
  </si>
  <si>
    <t>_result_hypertension_grade_1</t>
  </si>
  <si>
    <t>_result_hypertension_grade_2</t>
  </si>
  <si>
    <t>_result_hypertension_grade_3</t>
  </si>
  <si>
    <t>_result_gestational_hypertension_no_serious</t>
  </si>
  <si>
    <t>_result_gestational_hypertension_serious</t>
  </si>
  <si>
    <t>_result_pre_eclampsia</t>
  </si>
  <si>
    <t>_result_genitourinary_infections</t>
  </si>
  <si>
    <t>_result_threatened_miscarriage_less20</t>
  </si>
  <si>
    <t>_result_threatened_miscarriage_greater20</t>
  </si>
  <si>
    <t>_result_tuberculosis</t>
  </si>
  <si>
    <t>_result_asthma</t>
  </si>
  <si>
    <t>_result_pneumonia</t>
  </si>
  <si>
    <t>_result_flu_like_syndrome</t>
  </si>
  <si>
    <t>_result_impetigo_folliculitis</t>
  </si>
  <si>
    <t>_result_ring_worm</t>
  </si>
  <si>
    <t>_result_scabies</t>
  </si>
  <si>
    <t>_result_transient_ischemic_attack</t>
  </si>
  <si>
    <t>_result_stroke</t>
  </si>
  <si>
    <t>_result_old_stroke</t>
  </si>
  <si>
    <t>_result_uti</t>
  </si>
  <si>
    <t>_result_std_discharge</t>
  </si>
  <si>
    <t>_result_std_ulcer</t>
  </si>
  <si>
    <t>_result_moderate_anemia</t>
  </si>
  <si>
    <t>_result_urgent_referral</t>
  </si>
  <si>
    <t/>
  </si>
  <si>
    <t>if(${_result_hyperglycemia_severe} = 'true' or ${_result_gastritis_serious} = 'true' or ${_result_risk_of_cholera} = 'true' or ${_result_appendicitis_cholecystitis} = 'true' or ${_result_risk_malaria} = 'true' or ${_result_hypertensive_urgency} = 'true' or ${_result_hypertension_grade_3} = 'true' or ${_result_gestational_hypertension_serious} = 'true' or ${_result_pre_eclampsia} = 'true' or ${_result_genitourinary_infections} = 'true' or ${_result_threatened_miscarriage_less20} = 'true' or ${_result_threatened_miscarriage_greater20} = 'true' or ${_result_tuberculosis} = 'true' or ${_result_transient_ischemic_attack} = 'true' or ${_result_stroke} = 'true', 'true', 'false')</t>
  </si>
  <si>
    <t>has_positive_condition</t>
  </si>
  <si>
    <t>if(${_result_urgent_referral} = 'true' or ${_result_hyperglycemia_mild} = 'true' or ${_result_hyperglycemia_moderate} = 'true' or ${_result_hyperglycemia_severe} = 'true' or ${_result_gastritis_serious} = 'true' or ${_result_gastritis_not_serious} = 'true' or ${_result_risk_of_cholera} = 'true' or ${_result_acute_diarrhea} = 'true' or ${_result_amoeba_giardia} = 'true' or ${_result_appendicitis_cholecystitis} = 'true' or ${_result_risk_malaria} = 'true' or ${_result_risk_malaria} = 'true' or ${_result_hypertensive_urgency} = 'true' or ${_result_hypertension_grade_1} = 'true' or ${_result_hypertension_grade_2} = 'true' or ${_result_hypertension_grade_3} = 'true' or ${_result_gestational_hypertension_no_serious} = 'true' or ${_result_gestational_hypertension_serious} = 'true' or ${_result_pre_eclampsia} = 'true' or ${_result_genitourinary_infections} = 'true' or ${_result_threatened_miscarriage_less20} = 'true' or ${_result_threatened_miscarriage_greater20} = 'true' or ${_result_tuberculosis} = 'true' or ${_result_asthma} = 'true' or ${_result_pneumonia} = 'true' or ${_result_flu_like_syndrome} = 'true' or ${_result_impetigo_folliculitis} = 'true' or ${_result_ring_worm} = 'true' or ${_result_scabies} = 'true' or ${_result_transient_ischemic_attack} = 'true' or ${_result_stroke} = 'true' or ${_result_old_stroke} = 'true' or ${_result_uti} = 'true' or ${_result_std_discharge} = 'true' or ${_result_std_ulcer} = 'true' or ${_result_moderate_anemia} = 'true', 'true', 'false')</t>
  </si>
  <si>
    <t>summary_header</t>
  </si>
  <si>
    <t>Adult Patient Summary</t>
  </si>
  <si>
    <t>Sommaire du patient adulte</t>
  </si>
  <si>
    <t>Rezime pasyan adult</t>
  </si>
  <si>
    <t>field-list summary</t>
  </si>
  <si>
    <t>summary_overview</t>
  </si>
  <si>
    <t>Adult Health Checkup Summary for ${patient_name}</t>
  </si>
  <si>
    <t>h1 blue</t>
  </si>
  <si>
    <t>summary_instructions</t>
  </si>
  <si>
    <t>Clinical Findings &amp; Recommended Actions</t>
  </si>
  <si>
    <t>Résultats cliniques et actions recommandées</t>
  </si>
  <si>
    <t>Rezilta Klinik ak Aksyon Rekòmande</t>
  </si>
  <si>
    <t>h2</t>
  </si>
  <si>
    <t>res_diabetes_mild</t>
  </si>
  <si>
    <t>Mild Hyperglycemia</t>
  </si>
  <si>
    <t>${_result_hyperglycemia_mild} = 'true'</t>
  </si>
  <si>
    <t>h1 yellow</t>
  </si>
  <si>
    <t>res_diabetes_mild_protocol</t>
  </si>
  <si>
    <t>You will provide counseling and lifestyle advice.</t>
  </si>
  <si>
    <t>Vous fournirez des conseils nutritionnels et d'hygiène de vie.</t>
  </si>
  <si>
    <t>W ap bay konsèy sou rejim alimantè ak fòm vi.</t>
  </si>
  <si>
    <t>res_diabetes_mod</t>
  </si>
  <si>
    <t>Diabetes - Hyperglycemia</t>
  </si>
  <si>
    <t>${_result_hyperglycemia_moderate} = 'true'</t>
  </si>
  <si>
    <t>res_diabetes_mod_protocol</t>
  </si>
  <si>
    <t>You will provide counseling, administer medication, and schedule follow-up.</t>
  </si>
  <si>
    <t>Vous fournirez des conseils, administrerez le traitement et programmerez un suivi.</t>
  </si>
  <si>
    <t>W ap bay konsèy, bay medikaman, epi planifye yon swivi.</t>
  </si>
  <si>
    <t>res_diabetes_sev</t>
  </si>
  <si>
    <t>Diabetes - Severe Hyperglycemia</t>
  </si>
  <si>
    <t>${_result_hyperglycemia_severe} = 'true'</t>
  </si>
  <si>
    <t>h1 red</t>
  </si>
  <si>
    <t>res_diabetes_sev_protocol</t>
  </si>
  <si>
    <t>You will maintain hydration and refer immediately to the hospital.</t>
  </si>
  <si>
    <t>Vous maintiendrez l'hydratation et référerez immédiatement à l'hôpital.</t>
  </si>
  <si>
    <t>W ap kenbe idratasyon epi refere imedyatman nan lopital.</t>
  </si>
  <si>
    <t>res_gastritis_serious</t>
  </si>
  <si>
    <t>Gastritis / Ulcer (Severe)</t>
  </si>
  <si>
    <t>${_result_gastritis_serious} = 'true'</t>
  </si>
  <si>
    <t>res_gastritis_serious_protocol</t>
  </si>
  <si>
    <t>You will administer medication and refer urgently if complications arise.</t>
  </si>
  <si>
    <t>Vous administrerez les médicaments et référerez d'urgence en cas de complications.</t>
  </si>
  <si>
    <t>W ap bay medikaman epi refere an ijans si gen konplikasyon.</t>
  </si>
  <si>
    <t>res_gastritis_not_serious</t>
  </si>
  <si>
    <t>Gastritis / Ulcer</t>
  </si>
  <si>
    <t>${_result_gastritis_not_serious} = 'true'</t>
  </si>
  <si>
    <t>res_gastritis_not_serious_protocol</t>
  </si>
  <si>
    <t>You will provide counseling, test if available, and administer medication.</t>
  </si>
  <si>
    <t>Vous fournirez des conseils, ferez un test si disponible et administrerez un traitement.</t>
  </si>
  <si>
    <t>W ap bay konsèy, fè tès si l disponib, epi bay medikaman.</t>
  </si>
  <si>
    <t>res_cholera</t>
  </si>
  <si>
    <t>Risk of Cholera</t>
  </si>
  <si>
    <t>${_result_risk_of_cholera} = 'true'</t>
  </si>
  <si>
    <t>res_cholera_protocol</t>
  </si>
  <si>
    <t>You will administer on-site rehydration and refer immediately to a cholera center.</t>
  </si>
  <si>
    <t>Vous administrerez une réhydratation sur place et référerez immédiatement à un centre de traitement du choléra.</t>
  </si>
  <si>
    <t>W ap bay re-idratasyon sou plas epi refere imedyatman nan yon sant kolera.</t>
  </si>
  <si>
    <t>res_acute_diarrhea</t>
  </si>
  <si>
    <t>Acute Diarrhea</t>
  </si>
  <si>
    <t>${_result_acute_diarrhea} = 'true'</t>
  </si>
  <si>
    <t>res_acute_diarrhea_protocol</t>
  </si>
  <si>
    <t>You will provide on-site treatment, counseling, and home oral rehydration.</t>
  </si>
  <si>
    <t>Vous fournirez un traitement sur place, des conseils et une réhydratation orale.</t>
  </si>
  <si>
    <t>W ap bay tretman sou plas, konsèy, ak re-idratasyon nan bouch.</t>
  </si>
  <si>
    <t>res_amoeba_giardia</t>
  </si>
  <si>
    <t>Possible Amoeba or Giardia Infection</t>
  </si>
  <si>
    <t>${_result_amoeba_giardia} = 'true'</t>
  </si>
  <si>
    <t>res_amoeba_giardia_protocol</t>
  </si>
  <si>
    <t>You will administer antiparasitic medication and provide hygiene counseling.</t>
  </si>
  <si>
    <t>Vous administrerez un traitement antiparasitaire et fournirez des conseils d'hygiène.</t>
  </si>
  <si>
    <t>W ap bay medikaman antiparazitè epi bay konsèy sou ijyèn.</t>
  </si>
  <si>
    <t>res_appendicitis</t>
  </si>
  <si>
    <t>Risk of Appendicitis / Cholecystitis</t>
  </si>
  <si>
    <t>${_result_appendicitis_cholecystitis} = 'true'</t>
  </si>
  <si>
    <t>res_appendicitis_protocol</t>
  </si>
  <si>
    <t>You will keep patient NPO and refer immediately to the hospital.</t>
  </si>
  <si>
    <t>Vous garderez le patient à jeun et le référerez immédiatement à l'hôpital.</t>
  </si>
  <si>
    <t>W ap kenbe pasyan an ajeun epi refere l imedyatman nan lopital.</t>
  </si>
  <si>
    <t>res_malaria_pos</t>
  </si>
  <si>
    <t>Malaria Positive</t>
  </si>
  <si>
    <t>${_result_risk_malaria} = 'true'</t>
  </si>
  <si>
    <t>res_malaria_pos_protocol</t>
  </si>
  <si>
    <t>You will administer antimalarial treatment and provide counseling.</t>
  </si>
  <si>
    <t>Vous administrerez un traitement antipaludique et fournirez des conseils.</t>
  </si>
  <si>
    <t>W ap bay tretman kont malarya epi bay konsèy.</t>
  </si>
  <si>
    <t>res_malaria_neg</t>
  </si>
  <si>
    <t>Malaria Negative</t>
  </si>
  <si>
    <t>${_result_risk_malaria} != 'true' and ${_malaria_rapid_test_result} = 'negative'</t>
  </si>
  <si>
    <t>res_malaria_neg_protocol</t>
  </si>
  <si>
    <t>You will treat symptoms and investigate other causes of fever.</t>
  </si>
  <si>
    <t>Vous traiterez les symptômes et rechercherez d'autres causes de fièvre.</t>
  </si>
  <si>
    <t>W ap trete sentòm yo epi chèche lòt kòz lafyèv la.</t>
  </si>
  <si>
    <t>res_htn_urgency</t>
  </si>
  <si>
    <t>Hypertensive Urgency</t>
  </si>
  <si>
    <t>${_result_hypertensive_urgency} = 'true'</t>
  </si>
  <si>
    <t>res_htn_urgency_protocol</t>
  </si>
  <si>
    <t>You will give emergency medication and refer immediately to the hospital.</t>
  </si>
  <si>
    <t>Vous administrerez un médicament d'urgence et référerez immédiatement à l'hôpital.</t>
  </si>
  <si>
    <t>W ap bay medikaman ijans epi refere imedyatman nan lopital.</t>
  </si>
  <si>
    <t>res_htn_g1</t>
  </si>
  <si>
    <t>Hypertension Grade 1</t>
  </si>
  <si>
    <t>${_result_hypertension_grade_1} = 'true'</t>
  </si>
  <si>
    <t>res_htn_g1_protocol</t>
  </si>
  <si>
    <t>You will provide lifestyle counseling and schedule a follow-up check.</t>
  </si>
  <si>
    <t>Vous fournirez des conseils d'hygiène de vie et programmerez un contrôle de suivi.</t>
  </si>
  <si>
    <t>W ap bay konsèy sou fòm vi epi planifye yon tchèkòp swivi.</t>
  </si>
  <si>
    <t>res_htn_g2</t>
  </si>
  <si>
    <t>Hypertension Grade 2</t>
  </si>
  <si>
    <t>${_result_hypertension_grade_2} = 'true'</t>
  </si>
  <si>
    <t>res_htn_g2_protocol</t>
  </si>
  <si>
    <t>You will initiate or adjust medication, provide counseling, and monitor blood pressure.</t>
  </si>
  <si>
    <t>Vous adapterez le traitement médicamenteux, fournirez des conseils et surveillerez la tension.</t>
  </si>
  <si>
    <t>W ap kòmanse oswa ajiste medikaman, bay konsèy, epi kontwole tansyon an.</t>
  </si>
  <si>
    <t>res_htn_g3</t>
  </si>
  <si>
    <t>Hypertension Grade 3</t>
  </si>
  <si>
    <t>${_result_hypertension_grade_3} = 'true'</t>
  </si>
  <si>
    <t>res_htn_g3_protocol</t>
  </si>
  <si>
    <t>You will have patient rest and refer immediately to a specialist or hospital.</t>
  </si>
  <si>
    <t>Vous ferez reposer le patient et le référerez immédiatement à un spécialiste ou à l'hôpital.</t>
  </si>
  <si>
    <t>W ap fè pasyan an poze epi refere l imedyatman bay yon espesyalis oswa lopital.</t>
  </si>
  <si>
    <t>res_preg_htn_mild</t>
  </si>
  <si>
    <t>Gestational Hypertension (Mild)</t>
  </si>
  <si>
    <t>${_result_gestational_hypertension_no_serious} = 'true'</t>
  </si>
  <si>
    <t>res_preg_htn_mild_protocol</t>
  </si>
  <si>
    <t>You will recommend bed rest and establish close prenatal monitoring.</t>
  </si>
  <si>
    <t>Vous recommanderez le repos au lit et instaurerez une surveillance prénatale étroite.</t>
  </si>
  <si>
    <t>W ap rekòmande repo nan kabann epi fè siveyans prenatal regilye.</t>
  </si>
  <si>
    <t>res_preg_htn_sev</t>
  </si>
  <si>
    <t>Gestational Hypertension (Severe)</t>
  </si>
  <si>
    <t>${_result_gestational_hypertension_serious} = 'true'</t>
  </si>
  <si>
    <t>res_preg_htn_sev_protocol</t>
  </si>
  <si>
    <t>You will give emergency medication and transfer immediately to the hospital.</t>
  </si>
  <si>
    <t>Vous administrerez un médicament d'urgence et transférerez immédiatement à l'hôpital.</t>
  </si>
  <si>
    <t>W ap bay medikaman ijans epi transfere imedyatman nan lopital.</t>
  </si>
  <si>
    <t>res_pre_eclamp</t>
  </si>
  <si>
    <t>Pre-Eclampsia</t>
  </si>
  <si>
    <t>${_result_pre_eclampsia} = 'true'</t>
  </si>
  <si>
    <t>res_pre_eclamp_protocol</t>
  </si>
  <si>
    <t>res_preg_uti</t>
  </si>
  <si>
    <t>Genitourinary Infection in Pregnancy</t>
  </si>
  <si>
    <t>${_result_genitourinary_infections} = 'true'</t>
  </si>
  <si>
    <t>res_preg_uti_protocol</t>
  </si>
  <si>
    <t>You will prescribe antibiotics and provide hygiene and hydration counseling.</t>
  </si>
  <si>
    <t>Vous prescrirez des antibiotiques et donnerez des conseils d'hygiène et d'hydratation.</t>
  </si>
  <si>
    <t>W ap bay antibyotik epi bay konsèy sou ijyèn ak bwè dlo.</t>
  </si>
  <si>
    <t>res_miscarriage_less20</t>
  </si>
  <si>
    <t>Threatened Miscarriage (&lt;20 wks)</t>
  </si>
  <si>
    <t>${_result_threatened_miscarriage_less20} = 'true'</t>
  </si>
  <si>
    <t>res_miscarriage_less20_protocol</t>
  </si>
  <si>
    <t>You will give initial medication and refer immediately to the hospital.</t>
  </si>
  <si>
    <t>Vous administrerez un traitement initial et référerez immédiatement à l'hôpital.</t>
  </si>
  <si>
    <t>W ap bay premye medikaman epi refere imedyatman nan lopital.</t>
  </si>
  <si>
    <t>res_miscarriage_great20</t>
  </si>
  <si>
    <t>Threatened Miscarriage (&gt;20 wks)</t>
  </si>
  <si>
    <t>${_result_threatened_miscarriage_greater20} = 'true'</t>
  </si>
  <si>
    <t>res_miscarriage_great20_protocol</t>
  </si>
  <si>
    <t>Vous administrerez des médicaments d'urgence et référerez immédiatement à l'hôpital.</t>
  </si>
  <si>
    <t>res_tb</t>
  </si>
  <si>
    <t>Risk of Tuberculosis</t>
  </si>
  <si>
    <t>${_result_tuberculosis} = 'true'</t>
  </si>
  <si>
    <t>res_tb_protocol</t>
  </si>
  <si>
    <t>You will provide infection counseling and refer for diagnostic testing.</t>
  </si>
  <si>
    <t>Vous fournirez des conseils de prévention et référerez pour des examens diagnostiques.</t>
  </si>
  <si>
    <t>W ap bay konsèy pou evite enfeksyon epi refere pou fè tès depistaj.</t>
  </si>
  <si>
    <t>res_asthma</t>
  </si>
  <si>
    <t>Asthma</t>
  </si>
  <si>
    <t>${_result_asthma} = 'true'</t>
  </si>
  <si>
    <t>res_asthma_protocol</t>
  </si>
  <si>
    <t>You will administer an inhaler as needed and provide counseling.</t>
  </si>
  <si>
    <t>Vous administrerez un inhalateur au besoin et fournirez des conseils.</t>
  </si>
  <si>
    <t>W ap bay yon inalatè jan sa nesesè epi bay konsèy.</t>
  </si>
  <si>
    <t>res_pneumonia</t>
  </si>
  <si>
    <t>Risk of Pneumonia</t>
  </si>
  <si>
    <t>${_result_pneumonia} = 'true'</t>
  </si>
  <si>
    <t>res_pneumonia_protocol</t>
  </si>
  <si>
    <t>You will prescribe antibiotics, manage fever, and monitor warning signs.</t>
  </si>
  <si>
    <t>Vous prescrirez des antibiotiques, traiterez la fièvre et surveillerez les signes d'alerte.</t>
  </si>
  <si>
    <t>W ap bay antibyotik, jere lafyèv, epi siveye siy danje.</t>
  </si>
  <si>
    <t>res_flu</t>
  </si>
  <si>
    <t>Flu-Like Syndrome</t>
  </si>
  <si>
    <t>${_result_flu_like_syndrome} = 'true'</t>
  </si>
  <si>
    <t>res_flu_protocol</t>
  </si>
  <si>
    <t>You will provide supportive care, rest and hydration advice, and symptom relief.</t>
  </si>
  <si>
    <t>Vous fournirez des soins de soutien, des conseils de repos et de soulagement des symptômes.</t>
  </si>
  <si>
    <t>W ap bay swen sipò, konsèy sou repo ak idratasyon, ak soulajman sentòm.</t>
  </si>
  <si>
    <t>res_impetigo</t>
  </si>
  <si>
    <t>Impetigo or Folliculitis</t>
  </si>
  <si>
    <t>${_result_impetigo_folliculitis} = 'true'</t>
  </si>
  <si>
    <t>res_impetigo_protocol</t>
  </si>
  <si>
    <t>You will provide antiseptic skin care and antibiotic treatment.</t>
  </si>
  <si>
    <t>Vous réaliserez des soins antiseptiques et administrerez un traitement antibiotique.</t>
  </si>
  <si>
    <t>W ap bay swen po ak antiseptik epi bay tretman antibyotik.</t>
  </si>
  <si>
    <t>res_ringworm</t>
  </si>
  <si>
    <t>Ringworm (Tinea)</t>
  </si>
  <si>
    <t>${_result_ring_worm} = 'true'</t>
  </si>
  <si>
    <t>res_ringworm_protocol</t>
  </si>
  <si>
    <t>You will provide topical antifungal treatment and hygiene counseling.</t>
  </si>
  <si>
    <t>Vous prescrirez un traitement antifongique topique et des conseils d'hygiène.</t>
  </si>
  <si>
    <t>W ap bay krèm antifonjik epi bay konsèy sou ijyèn.</t>
  </si>
  <si>
    <t>res_scabies</t>
  </si>
  <si>
    <t>Scabies</t>
  </si>
  <si>
    <t>${_result_scabies} = 'true'</t>
  </si>
  <si>
    <t>res_scabies_protocol</t>
  </si>
  <si>
    <t>You will provide antiparasitic treatment and household contact counseling.</t>
  </si>
  <si>
    <t>Vous fournirez un traitement antiparasitaire et des conseils pour l'entourage.</t>
  </si>
  <si>
    <t>W ap bay tretman antiparazitè ak konsèy pou tout moun nan kay la.</t>
  </si>
  <si>
    <t>res_tia</t>
  </si>
  <si>
    <t>Transient Ischemic Attack (TIA)</t>
  </si>
  <si>
    <t>${_result_transient_ischemic_attack} = 'true'</t>
  </si>
  <si>
    <t>res_tia_protocol</t>
  </si>
  <si>
    <t>You will control blood pressure and refer urgently to a specialist.</t>
  </si>
  <si>
    <t>Vous contrôlerez la tension artérielle et référerez d'urgence à un spécialiste.</t>
  </si>
  <si>
    <t>W ap kontwole tansyon epi refere an ijans bay yon espesyalis.</t>
  </si>
  <si>
    <t>res_stroke_active</t>
  </si>
  <si>
    <t>Active Stroke</t>
  </si>
  <si>
    <t>${_result_stroke} = 'true'</t>
  </si>
  <si>
    <t>res_stroke_active_protocol</t>
  </si>
  <si>
    <t>You will support vital signs and transfer immediately to the hospital.</t>
  </si>
  <si>
    <t>Vous maintiendrez les fonctions vitales et transférerez d'urgence à l'hôpital.</t>
  </si>
  <si>
    <t>W ap soutni siy vital yo epi transfere imedyatman nan lopital.</t>
  </si>
  <si>
    <t>res_old_stroke</t>
  </si>
  <si>
    <t>Old / Prior Stroke</t>
  </si>
  <si>
    <t>${_result_old_stroke} = 'true'</t>
  </si>
  <si>
    <t>res_old_stroke_protocol</t>
  </si>
  <si>
    <t>You will provide prevention counseling, manage blood pressure, and refer for rehab.</t>
  </si>
  <si>
    <t>Vous donnerez des conseils de prévention, contrôlerez la tension et référerez en réadaptation.</t>
  </si>
  <si>
    <t>W ap bay konsèy prevansyon, kontwole tansyon, epi refere pou reyabilitasyon.</t>
  </si>
  <si>
    <t>res_uti</t>
  </si>
  <si>
    <t>Urinary Tract Infection</t>
  </si>
  <si>
    <t>${_result_uti} = 'true'</t>
  </si>
  <si>
    <t>res_uti_protocol</t>
  </si>
  <si>
    <t>You will prescribe antibiotics and provide hydration counseling.</t>
  </si>
  <si>
    <t>Vous prescrirez des antibiotiques et donnerez des conseils d'hydratation.</t>
  </si>
  <si>
    <t>W ap bay antibyotik epi bay konsèy pou bwè dlo.</t>
  </si>
  <si>
    <t>res_std_disc</t>
  </si>
  <si>
    <t>Risk of STD (Discharge)</t>
  </si>
  <si>
    <t>${_result_std_discharge} = 'true'</t>
  </si>
  <si>
    <t>res_std_disc_protocol</t>
  </si>
  <si>
    <t>You will provide syndromic treatment, prevention counseling, and partner management.</t>
  </si>
  <si>
    <t>Vous fournirez un traitement syndromique, des conseils préventifs et la prise en charge du partenaire.</t>
  </si>
  <si>
    <t>W ap bay tretman sendwòmik, konsèy prevansyon, ak swen pou patnè a.</t>
  </si>
  <si>
    <t>res_std_ulc</t>
  </si>
  <si>
    <t>Risk of STD (Ulcer / Syphilis)</t>
  </si>
  <si>
    <t>${_result_std_ulcer} = 'true'</t>
  </si>
  <si>
    <t>res_std_ulc_protocol</t>
  </si>
  <si>
    <t>You will administer targeted treatment, safe sex counseling, and partner referral.</t>
  </si>
  <si>
    <t>Vous administrerez un traitement ciblé, des conseils préventifs et référerez le partenaire.</t>
  </si>
  <si>
    <t>W ap bay tretman vize, konsèy sou sèks san danje, epi refere patnè a.</t>
  </si>
  <si>
    <t>res_anemia</t>
  </si>
  <si>
    <t>Moderate Anemia</t>
  </si>
  <si>
    <t>${_result_moderate_anemia} = 'true'</t>
  </si>
  <si>
    <t>res_anemia_protocol</t>
  </si>
  <si>
    <t>You will prescribe nutritional supplements and provide dietary counseling.</t>
  </si>
  <si>
    <t>Vous prescrirez une supplémentation nutritionnelle et donnerez des conseils alimentaires.</t>
  </si>
  <si>
    <t>W ap bay sipleman nitrisyonèl epi bay konsèy sou bon manje.</t>
  </si>
  <si>
    <t>res_urgent_ref</t>
  </si>
  <si>
    <t>Urgent / Emergency Referral Required</t>
  </si>
  <si>
    <t>${_result_urgent_referral} = 'true'</t>
  </si>
  <si>
    <t>res_urgent_ref_protocol</t>
  </si>
  <si>
    <t>You will monitor vital signs and initiate immediate emergency referral.</t>
  </si>
  <si>
    <t>Vous surveillerez les signes vitaux et déclencherez un transfert d'urgence immédiat.</t>
  </si>
  <si>
    <t>W ap kontwole siy vital yo epi fè yon referans ijans imedyat.</t>
  </si>
  <si>
    <t>res_no_condition</t>
  </si>
  <si>
    <t>No Specific Medical Action Required</t>
  </si>
  <si>
    <t>${has_positive_condition} = 'false'</t>
  </si>
  <si>
    <t>h1 green</t>
  </si>
  <si>
    <t>res_no_condition_protocol</t>
  </si>
  <si>
    <t>You may provide routine health and preventive wellness counseling.</t>
  </si>
  <si>
    <t>Vous fournirez des conseils de santé générale et de prévention.</t>
  </si>
  <si>
    <t>W ap bay konsèy sou bon sante ak prevansyon woutin.</t>
  </si>
  <si>
    <t>grp_pre_eclampsia</t>
  </si>
  <si>
    <t>Pré-éclampsie</t>
  </si>
  <si>
    <t>Pre-eklanpsi</t>
  </si>
  <si>
    <t>pre_eclampsia_notification</t>
  </si>
  <si>
    <t>The patient has Pre-Eclampsia</t>
  </si>
  <si>
    <t>pre_eclampsia_protocol</t>
  </si>
  <si>
    <t xml:space="preserve">Protocol: 
- Administer Nifedipine 20mg immediately
- Refer immediately to the hospital </t>
  </si>
  <si>
    <t>pre_eclampsia_counseling</t>
  </si>
  <si>
    <t>Counseling: 
- (TODO counseling not provided in care protocols - added as place holder for nurse feedback)</t>
  </si>
  <si>
    <t>select_multiple drug_confirmation</t>
  </si>
  <si>
    <t>confirm_nifedipine_20mg_pre_eclampsia</t>
  </si>
  <si>
    <t>Did you administer 1 Nifedipine 20mg?</t>
  </si>
  <si>
    <t>],[</t>
  </si>
  <si>
    <t>_data_nifedipine_20mg_pre_eclampsia_distributed</t>
  </si>
  <si>
    <t>if(selected(${confirm_nifedipine_20mg_pre_eclampsia}, 'confirmation'), 1, 0)</t>
  </si>
  <si>
    <t>text</t>
  </si>
  <si>
    <t>pre_eclampsia_med_not_confirmed_reason</t>
  </si>
  <si>
    <t xml:space="preserve">You have left at least one drug confirmation blank. If this is intentional, record why below. </t>
  </si>
  <si>
    <t xml:space="preserve">If you distributed a different amount of drugs, record how many. </t>
  </si>
  <si>
    <t>not(selected(${confirm_nifedipine_20mg_pre_eclampsia}, 'confirmation'))</t>
  </si>
  <si>
    <t>pre_eclampsia_notes</t>
  </si>
  <si>
    <t>Clinical notes:</t>
  </si>
  <si>
    <t>grp_threatened_miscarriage_gt20</t>
  </si>
  <si>
    <t>Menace de fausse couche (&gt;20 semaines)</t>
  </si>
  <si>
    <t>Menas pou fè foskouch (&gt;20 semèn)</t>
  </si>
  <si>
    <t>miscarriage_gt20_notification</t>
  </si>
  <si>
    <t>The patient is Threatened Miscarriage</t>
  </si>
  <si>
    <t>miscarriage_gt20_protocol</t>
  </si>
  <si>
    <t>Protocol: 
- Administer 1 Nifedipine 20mg immediately
- Aminister 1 Paracetamol 500mg immediately
- Immediate hospital referral.</t>
  </si>
  <si>
    <t>miscarriage_gt20_counseling</t>
  </si>
  <si>
    <t>confirm_nifedipine_20mg_gt20</t>
  </si>
  <si>
    <t>_data_nifedipine_20mg_gt20_distributed</t>
  </si>
  <si>
    <t>if(selected(${confirm_nifedipine_20mg_gt20}, 'confirmation'),1, 0)</t>
  </si>
  <si>
    <t>confirm_paracetamol_500mg_gt20</t>
  </si>
  <si>
    <t>Did you administer 1 Paracetamol 500mg?</t>
  </si>
  <si>
    <t>_data_paracetamol_500mg_gt20_distributed</t>
  </si>
  <si>
    <t>if(selected(${confirm_paracetamol_500mg_gt20}, 'confirmation'), 1, 0)</t>
  </si>
  <si>
    <t>miscarriage_gt20_med_not_confirmed_reason</t>
  </si>
  <si>
    <t>not(selected(${confirm_nifedipine_20mg_gt20}, 'confirmation')) or not(selected(${confirm_paracetamol_500mg_gt20}, 'confirmation'))</t>
  </si>
  <si>
    <t>miscarriage_gt20_notes</t>
  </si>
  <si>
    <t>grp_threatened_miscarriage_lt20</t>
  </si>
  <si>
    <t>Menace de fausse couche (&lt;20 semaines)</t>
  </si>
  <si>
    <t>Menas pou fè foskouch (&lt;20 semèn)</t>
  </si>
  <si>
    <t>miscarriage_lt20_notification</t>
  </si>
  <si>
    <t xml:space="preserve">The patient is Threatened Miscarriage </t>
  </si>
  <si>
    <t>miscarriage_lt20_protocol</t>
  </si>
  <si>
    <t>Protocol: 
- Administer 1 Paracetamol 500mg immediately
- Refer to the hospital immediately</t>
  </si>
  <si>
    <t>miscarriage_lt20_counseling</t>
  </si>
  <si>
    <t>confirm_paracetamol_500mg_lt20</t>
  </si>
  <si>
    <t>_data_paracetamol_500mg_lt20_distributed</t>
  </si>
  <si>
    <t>if(selected(${confirm_paracetamol_500mg_lt20}, 'confirmation'), 1, 0)</t>
  </si>
  <si>
    <t>miscarriage_lt20_med_not_confirmed_reason</t>
  </si>
  <si>
    <t>not(selected(${confirm_paracetamol_500mg_lt20}, 'confirmation'))</t>
  </si>
  <si>
    <t>miscarriage_lt20_notes</t>
  </si>
  <si>
    <t>grp_gestational_htn_sev</t>
  </si>
  <si>
    <t>Hypertension gestationnelle (sévère)</t>
  </si>
  <si>
    <t>Tansyon wo jestasyonèl (grav)</t>
  </si>
  <si>
    <t>gest_htn_sev_notification</t>
  </si>
  <si>
    <t>The patient has Severe Gestational Hypertension</t>
  </si>
  <si>
    <t>gest_htn_sev_protocol</t>
  </si>
  <si>
    <t>Protocol: 
- Administer 1 Nifedipine 20mg immediately
- Refer to hospital immediately</t>
  </si>
  <si>
    <t>gest_htn_sev_counseling</t>
  </si>
  <si>
    <t>confirm_nifedipine_20mg_gest_sev</t>
  </si>
  <si>
    <t>_data_nifedipine_20mg_gest_sev_distributed</t>
  </si>
  <si>
    <t>if(selected(${confirm_nifedipine_20mg_gest_sev}, 'confirmation'), 1, 0)</t>
  </si>
  <si>
    <t>gest_htn_sev_med_not_confirmed_reason</t>
  </si>
  <si>
    <t>not(selected(${confirm_nifedipine_20mg_gest_sev}, 'confirmation'))</t>
  </si>
  <si>
    <t>gest_htn_sev_notes</t>
  </si>
  <si>
    <t>grp_gestational_htn_mild</t>
  </si>
  <si>
    <t>Hypertension gestationnelle (légère)</t>
  </si>
  <si>
    <t>Tansyon wo jestasyonèl (lejè)</t>
  </si>
  <si>
    <t>gest_htn_mild_notification</t>
  </si>
  <si>
    <t>The patient has Mild Gestational Hypertension</t>
  </si>
  <si>
    <t>gest_htn_mild_protocol</t>
  </si>
  <si>
    <t>Protocol: 
- Distribute 30 Nifedipine 20mg to be taken once daily
- Refer to regular prenatal clinic</t>
  </si>
  <si>
    <t>gest_htn_mild_counseling</t>
  </si>
  <si>
    <t>Counseling: 
- Inform the patient to not wait too long to go to the prenatal clinic
- Inform the patient to reduce salt consumption</t>
  </si>
  <si>
    <t>confirm_nifedipine_20mg_gest_mild</t>
  </si>
  <si>
    <t>Did you distribute 30 Nifedipine 20mg?</t>
  </si>
  <si>
    <t>_data_nifedipine_20mg_gest_mild_distributed</t>
  </si>
  <si>
    <t>if(selected(${confirm_nifedipine_20mg_gest_mild}, 'confirmation'), 30, 0)</t>
  </si>
  <si>
    <t>gest_htn_mild_med_not_confirmed_reason</t>
  </si>
  <si>
    <t>not(selected(${confirm_nifedipine_20mg_gest_mild}, 'confirmation'))</t>
  </si>
  <si>
    <t>gest_htn_mild_notes</t>
  </si>
  <si>
    <t>grp_preg_uti</t>
  </si>
  <si>
    <t>Infection génito-urinaire pendant la grossesse</t>
  </si>
  <si>
    <t>Enfeksyon jenitourinè pandan gwosès</t>
  </si>
  <si>
    <t>preg_uti_notification</t>
  </si>
  <si>
    <t>The patient has Genitourinary Infection in Pregnancy</t>
  </si>
  <si>
    <t>preg_uti_protocol</t>
  </si>
  <si>
    <t>Protocol: 
- Distribute 21 Amoxicillin 500mg to be taken 3 times/day for 7 days</t>
  </si>
  <si>
    <t>preg_uti_counseling</t>
  </si>
  <si>
    <t>Counseling: 
- Provide hygiene counseling</t>
  </si>
  <si>
    <t>confirm_amoxicillin_500mg_preg</t>
  </si>
  <si>
    <t>Did you distribute 21 Amoxicillin 500mg ?</t>
  </si>
  <si>
    <t>_data_amoxicillin_500mg_preg_distributed</t>
  </si>
  <si>
    <t>if(selected(${confirm_amoxicillin_500mg_preg}, 'confirmation'), 21, 0)</t>
  </si>
  <si>
    <t>preg_uti_med_not_confirmed_reason</t>
  </si>
  <si>
    <t>not(selected(${confirm_amoxicillin_500mg_preg}, 'confirmation'))</t>
  </si>
  <si>
    <t>preg_uti_notes</t>
  </si>
  <si>
    <t>grp_htn_urgency</t>
  </si>
  <si>
    <t>Urgence hypertensive</t>
  </si>
  <si>
    <t>Ijans Ipertansif</t>
  </si>
  <si>
    <t>htn_urgency_notification</t>
  </si>
  <si>
    <t>The patient has Hypertensive Urgency</t>
  </si>
  <si>
    <t>htn_urgency_protocol</t>
  </si>
  <si>
    <t>Protocol: 
- Administer 1 Nifedipine 10mg Rapid Release sublingually
- Immediate hospital referral</t>
  </si>
  <si>
    <t>htn_urgency_counseling</t>
  </si>
  <si>
    <t>confirm_nifedipine_10mg_urgency</t>
  </si>
  <si>
    <t>Did you administer 1 Nifedipine 10mg Rapid Release?</t>
  </si>
  <si>
    <t>_data_nifedipine_10mg_urgency_distributed</t>
  </si>
  <si>
    <t>if(selected(${confirm_nifedipine_10mg_urgency}, 'confirmation'), 1, 0)</t>
  </si>
  <si>
    <t>htn_urgency_med_not_confirmed_reason</t>
  </si>
  <si>
    <t>not(selected(${confirm_nifedipine_10mg_urgency}, 'confirmation'))</t>
  </si>
  <si>
    <t>htn_urgency_notes</t>
  </si>
  <si>
    <t>grp_htn_grade_3</t>
  </si>
  <si>
    <t>Hypertension de grade 3</t>
  </si>
  <si>
    <t>Tansyon wo nivo 3</t>
  </si>
  <si>
    <t>htn_g3_notification</t>
  </si>
  <si>
    <t>The patient has Hypertension Grade 3</t>
  </si>
  <si>
    <t>htn_g3_protocol</t>
  </si>
  <si>
    <t>Protocol: 
- Refer immediately</t>
  </si>
  <si>
    <t>htn_g3_counseling</t>
  </si>
  <si>
    <t>htn_g3_notes</t>
  </si>
  <si>
    <t>grp_htn_grade_2</t>
  </si>
  <si>
    <t>Hypertension de grade 2</t>
  </si>
  <si>
    <t>Tansyon wo nivo 2</t>
  </si>
  <si>
    <t>htn_g2_notification</t>
  </si>
  <si>
    <t>The patient has Hypertension Grade 2</t>
  </si>
  <si>
    <t>htn_g2_protocol</t>
  </si>
  <si>
    <t>Protocol: 
- Distribute 30 Hydrochlorothiazide 25mg to be taken every morning
- Distribute 60 Enalapril 10mg to be taken twice daily</t>
  </si>
  <si>
    <t>htn_g2_counseling</t>
  </si>
  <si>
    <t>Counseling: 
- Go to hospital if danger signs occur: blurry vision, headache, neck stiffness, or difficulty speaking
- Healthy diet: reduce salt, reduce fried food, and eat more fruits and vegetables
- Counsel on the need to never stop taking the medication
- Advise a follow-up in 1 month for BP control and medication refill</t>
  </si>
  <si>
    <t>confirm_hctz_25mg_g2</t>
  </si>
  <si>
    <t>Did you distribute 30 Hydrochlorothiazide 25mg?</t>
  </si>
  <si>
    <t>if(selected(${confirm_hctz_25mg_g2}, 'confirmation'), 'yes', 'no')</t>
  </si>
  <si>
    <t>_data_hctz_25mg_g2_distributed</t>
  </si>
  <si>
    <t>if(selected(${confirm_hctz_25mg_g2}, 'confirmation'), 30, 0)</t>
  </si>
  <si>
    <t>confirm_enalapril_10mg_g2</t>
  </si>
  <si>
    <t>Did you distribute 60 Enalapril 10mg?</t>
  </si>
  <si>
    <t>if(selected(${confirm_enalapril_10mg_g2}, 'confirmation'), 'yes', 'no')</t>
  </si>
  <si>
    <t>_data_enalapril_10mg_g2_distributed</t>
  </si>
  <si>
    <t>if(selected(${confirm_enalapril_10mg_g2}, 'confirmation'), 60, 0)</t>
  </si>
  <si>
    <t>htn_g2_med_not_confirmed_reason</t>
  </si>
  <si>
    <t>not(selected(${confirm_hctz_25mg_g2}, 'confirmation')) or not(selected(${confirm_enalapril_10mg_g2}, 'confirmation'))</t>
  </si>
  <si>
    <t>htn_g2_notes</t>
  </si>
  <si>
    <t>grp_htn_grade_1</t>
  </si>
  <si>
    <t>Hypertension de grade 1</t>
  </si>
  <si>
    <t>Tansyon wo nivo 1</t>
  </si>
  <si>
    <t>htn_g1_notification</t>
  </si>
  <si>
    <t>The patient has Hypertension Grade 1</t>
  </si>
  <si>
    <t>htn_g1_protocol</t>
  </si>
  <si>
    <t xml:space="preserve">Protocol: 
- Distribute 30 Hydrochlorothiazide 25mg to be taken every morning
</t>
  </si>
  <si>
    <t>htn_g1_counseling</t>
  </si>
  <si>
    <t>confirm_hctz_25mg_g1</t>
  </si>
  <si>
    <t>_data_hctz_25mg_g1_distributed</t>
  </si>
  <si>
    <t>if(selected(${confirm_hctz_25mg_g1}, 'confirmation'), 30, 0)</t>
  </si>
  <si>
    <t>htn_g1_med_not_confirmed_reason</t>
  </si>
  <si>
    <t>not(selected(${confirm_hctz_25mg_g1}, 'confirmation'))</t>
  </si>
  <si>
    <t>htn_g1_notes</t>
  </si>
  <si>
    <t>grp_stroke_active</t>
  </si>
  <si>
    <t>AVC actif</t>
  </si>
  <si>
    <t>Konjesyon Serebral Aktif</t>
  </si>
  <si>
    <t>stroke_notification</t>
  </si>
  <si>
    <t>The patient has Active Stroke</t>
  </si>
  <si>
    <t>stroke_protocol</t>
  </si>
  <si>
    <t xml:space="preserve">Protocol: 
- Control Blood Pressure
- Treat Hypertension
- Refer immediately </t>
  </si>
  <si>
    <t>stroke_counseling</t>
  </si>
  <si>
    <t>stroke_notes</t>
  </si>
  <si>
    <t>grp_tia</t>
  </si>
  <si>
    <t>Accident ischémique transitoire (AIT)</t>
  </si>
  <si>
    <t>Atak Ischemik Tanporè (TIA)</t>
  </si>
  <si>
    <t>tia_notification</t>
  </si>
  <si>
    <t>The patient has Transient Ischemic Attack (TIA)</t>
  </si>
  <si>
    <t>tia_protocol</t>
  </si>
  <si>
    <t>Protocol: 
- Control blood pressure
- Treat hypertension
- Urgent referral to hospital specialist</t>
  </si>
  <si>
    <t>tia_counseling</t>
  </si>
  <si>
    <t>tia_notes</t>
  </si>
  <si>
    <t>grp_old_stroke</t>
  </si>
  <si>
    <t>AVC ancien / antérieur</t>
  </si>
  <si>
    <t>Ansyen / Anvan Aksidan Serebrovaskilè</t>
  </si>
  <si>
    <t>old_stroke_notification</t>
  </si>
  <si>
    <t>The patient has Old / Prior Stroke</t>
  </si>
  <si>
    <t>old_stroke_protocol</t>
  </si>
  <si>
    <t>Protocol: 
- Treat hypertension to prevent new strokes</t>
  </si>
  <si>
    <t>old_stroke_counseling</t>
  </si>
  <si>
    <t>Counseling: 
- Counsel on mobilization and need for regular gentle physical exercise</t>
  </si>
  <si>
    <t>old_stroke_notes</t>
  </si>
  <si>
    <t>grp_diabetes_severe</t>
  </si>
  <si>
    <t>Diabète - Hyperglycémie sévère</t>
  </si>
  <si>
    <t>Dyabèt - Ipèglisemi grav</t>
  </si>
  <si>
    <t>diabetes_sev_notification</t>
  </si>
  <si>
    <t>The patient has Severe Hyperglycemia (Glucose &gt;400 mg/dL)</t>
  </si>
  <si>
    <t>diabetes_sev_protocol</t>
  </si>
  <si>
    <t xml:space="preserve">Protocol: 
- Refer immediately
</t>
  </si>
  <si>
    <t>diabetes_sev_counseling</t>
  </si>
  <si>
    <t>diabetes_sev_notes</t>
  </si>
  <si>
    <t>grp_diabetes_mod</t>
  </si>
  <si>
    <t>diabetes_mod_notification</t>
  </si>
  <si>
    <t>The patient has Moderate Hyperglycemia (Glucose 200-400 mg/dL)</t>
  </si>
  <si>
    <t>diabetes_mod_protocol1</t>
  </si>
  <si>
    <t>Protocol: 
- Metformin 500mg with breakfast for 1 week. Repeat blood glucose in 1-2 weeks. 
- Distribute 7 Metformin 500mg</t>
  </si>
  <si>
    <t>${_metformin_dosage} !=  '500mg/day' or ${_metformin_dosage} !=  '1000mg/day' or ${_metformin_dosage} !=  '1500mg/day' or ${_metformin_dosage} !=  '2000mg/day'</t>
  </si>
  <si>
    <t>select_one yes_no</t>
  </si>
  <si>
    <t>diabetes_mod_protocol2</t>
  </si>
  <si>
    <t xml:space="preserve">Patient currently takes ${_metformin_dosage}. If well tolerated, the patient may now begin taking 500mg twice daily with meals. Will you be giving the patient Metforming 500mg? </t>
  </si>
  <si>
    <t xml:space="preserve">${_metformin_dosage} =  '500mg/day' </t>
  </si>
  <si>
    <t>diabetes_mod_protocol2_1</t>
  </si>
  <si>
    <t>Protocol: 
- Distribute 60 Metformin 500mg to be taken twice daily with meals</t>
  </si>
  <si>
    <t>${diabetes_mod_protocol2} = 'yes'</t>
  </si>
  <si>
    <t>diabetes_mod_protocol2_2</t>
  </si>
  <si>
    <t>Protocol: 
- Do not distribute any medication
- Provide counseling</t>
  </si>
  <si>
    <t>${diabetes_mod_protocol2} = 'no'</t>
  </si>
  <si>
    <t>diabetes_mod_protocol3</t>
  </si>
  <si>
    <t xml:space="preserve">Patient currently takes ${_metformin_dosage}. If glycaemic control is inadequate, it is advised to increase dosage by 500mg/day as tolerated. Would you like to increase their dosage? </t>
  </si>
  <si>
    <t>${_metformin_dosage} =  '1000mg/day'</t>
  </si>
  <si>
    <t>diabetes_mod_protocol3_1</t>
  </si>
  <si>
    <t xml:space="preserve">Protocol: 
- Distribute 90 Metformin 500mg to be taken 750mg twice daily with meals </t>
  </si>
  <si>
    <t>${diabetes_mod_protocol3} = 'yes'</t>
  </si>
  <si>
    <t>diabetes_mod_protocol3_2</t>
  </si>
  <si>
    <t>${diabetes_mod_protocol3} = 'no'</t>
  </si>
  <si>
    <t>diabetes_mod_protocol4</t>
  </si>
  <si>
    <t xml:space="preserve">Patient currently takes ${_metformin_dosage}. Today's results indicate glycaemic control remains inadequate, it is advised to increase dosage by 500mg/day as tolerated. Would you like to increase their dosage? </t>
  </si>
  <si>
    <t xml:space="preserve">${_metformin_dosage} =  '1500mg/day' </t>
  </si>
  <si>
    <t>diabetes_mod_protocol4_1</t>
  </si>
  <si>
    <t>Protocol: 
- Distribute 120 Metformin 500mg to be taken 1000mg twice daily with meals</t>
  </si>
  <si>
    <t>${diabetes_mod_protocol4} = 'yes'</t>
  </si>
  <si>
    <t>diabetes_mod_protocol4_2</t>
  </si>
  <si>
    <t>${diabetes_mod_protocol4} = 'no'</t>
  </si>
  <si>
    <t>diabetes_mod_protocol5</t>
  </si>
  <si>
    <t>Patient currently takes ${_metformin_dosage}. This is the maximum dosage. 
Protocol: 
- Distribute 120 Metformin 500mg</t>
  </si>
  <si>
    <t xml:space="preserve">${_metformin_dosage} =  '2000mg/day' </t>
  </si>
  <si>
    <t>diabetes_mod_counseling</t>
  </si>
  <si>
    <t xml:space="preserve">Counseling: 
- Eat regular meals and avoid skipping meals
- Reduce foods and drinks with added sugar, including soft drinks, sweetened juices, candies, cakes, and pastries 
- Limit large portions of rice, bread, pasta, and other refined starches
- Choose whole grains, beans, vegitables, and fresh fruit
- Include lean protein (beans, fish, eggs, poultry) with meals
- Avoid excessive fried and fatty foods 
- Advise patient to return for a blood glucose test in 1-2 weeks. Inform patient to not eat before coming. </t>
  </si>
  <si>
    <t>metformin_to_distribute</t>
  </si>
  <si>
    <t>if(${_metformin_dosage} = '2000mg/day', 120, if(${_metformin_dosage} = '1500mg/day', if(${diabetes_mod_protocol4} = 'yes', 120, 90), if(${_metformin_dosage} = '1000mg/day', if(${diabetes_mod_protocol3} = 'yes', 90, 60), if(${_metformin_dosage} = '500mg/day', if(${diabetes_mod_protocol2} = 'yes', 60, 0), 7))))</t>
  </si>
  <si>
    <t>confirm_metformin_500mg</t>
  </si>
  <si>
    <t>Did you distribute ${metformin_to_distribute} Metformin 500mg?</t>
  </si>
  <si>
    <t>_data_metformin_500mg_distributed</t>
  </si>
  <si>
    <t>if(selected(${confirm_metformin_500mg}, 'confirmation'), ${metformin_to_distribute}, 0)</t>
  </si>
  <si>
    <t>diabetes_mod_med_not_confirmed_reason</t>
  </si>
  <si>
    <t>not(selected(${confirm_metformin_500mg}, 'confirmation'))</t>
  </si>
  <si>
    <t>diabetes_mod_notes</t>
  </si>
  <si>
    <t>grp_diabetes_mild</t>
  </si>
  <si>
    <t>Hyperglycémie légère</t>
  </si>
  <si>
    <t>Ipèglisemi lejè</t>
  </si>
  <si>
    <t>diabetes_mild_notification</t>
  </si>
  <si>
    <t>The patient has Mild Hyperglycemia (Glucose 120-200 mg/dL)</t>
  </si>
  <si>
    <t>diabetes_mild_protocol</t>
  </si>
  <si>
    <t xml:space="preserve">Protocol: 
- Explain that blood sugar is higher than normal but not dangerously high
- Return for repeat blood glucose test in 2-4 weeks to confirm
- Inform patient to not eat before repeating blood glucose test </t>
  </si>
  <si>
    <t>diabetes_mild_counseling</t>
  </si>
  <si>
    <t>diabetes_mild_notes</t>
  </si>
  <si>
    <t>grp_appendicitis</t>
  </si>
  <si>
    <t>Risque d'appendicite / cholécystite</t>
  </si>
  <si>
    <t>Risk pou Apendisit / Kolesistit</t>
  </si>
  <si>
    <t>appendicitis_notification</t>
  </si>
  <si>
    <t>The patient has Risk of Appendicitis / Cholecystitis</t>
  </si>
  <si>
    <t>appendicitis_protocol</t>
  </si>
  <si>
    <t xml:space="preserve">Protocol: 
- Refer to hospital immediately
</t>
  </si>
  <si>
    <t>appendicitis_counseling</t>
  </si>
  <si>
    <t>appendicitis_notes</t>
  </si>
  <si>
    <t>grp_cholera</t>
  </si>
  <si>
    <t>Risque de choléra</t>
  </si>
  <si>
    <t>Risk pou pran kolera</t>
  </si>
  <si>
    <t>cholera_notification</t>
  </si>
  <si>
    <t>The patient has Risk of Cholera</t>
  </si>
  <si>
    <t>cholera_protocol</t>
  </si>
  <si>
    <t>Protocol: 
- Start IV Ringer's Lactate if severely dehydrated
- Refer to hospital or cholera treatment center prepared with ORS</t>
  </si>
  <si>
    <t>cholera_counseling</t>
  </si>
  <si>
    <t>cholera_notes</t>
  </si>
  <si>
    <t>grp_gastritis_serious</t>
  </si>
  <si>
    <t>Gastrite / Ulcère (Sévère)</t>
  </si>
  <si>
    <t>Gastrit / Ilsè (Grav)</t>
  </si>
  <si>
    <t>gastritis_sev_notification</t>
  </si>
  <si>
    <t>The patient has Severe Gastritis / Ulcer</t>
  </si>
  <si>
    <t>gastritis_sev_protocol</t>
  </si>
  <si>
    <t xml:space="preserve">Protocol: 
- Administer 20cc of Litacid gel 20cc
- Administer 1 Omeprazole 40mg IM 
- Administer 1 Buscopan 20mg IM 
- Refer patient </t>
  </si>
  <si>
    <t>gastritis_sev_counseling</t>
  </si>
  <si>
    <t>confirm_litacid_gel_sev</t>
  </si>
  <si>
    <t>Did you administer Litacid Gel 20cc?</t>
  </si>
  <si>
    <t>_data_litacid_gel_sev_distributed</t>
  </si>
  <si>
    <t>if(selected(${confirm_litacid_gel_sev}, 'confirmation'), 1, 0)</t>
  </si>
  <si>
    <t>confirm_omeprazole_40mg_sev</t>
  </si>
  <si>
    <t>Did you distribute Omeprazole 40mg IM?</t>
  </si>
  <si>
    <t>_data_omeprazole_40mg_sev_distributed</t>
  </si>
  <si>
    <t>if(selected(${confirm_omeprazole_40mg_sev}, 'confirmation'), 1, 0)</t>
  </si>
  <si>
    <t>confirm_buscopan_20mg_sev</t>
  </si>
  <si>
    <t>Did you distribute Buscopan 20mg IM?</t>
  </si>
  <si>
    <t>_data_buscopan_20mg_sev_distributed</t>
  </si>
  <si>
    <t>if(selected(${confirm_buscopan_20mg_sev}, 'confirmation'), 1, 0)</t>
  </si>
  <si>
    <t>gastritis_sev_med_not_confirmed_reason</t>
  </si>
  <si>
    <t>not(selected(${confirm_litacid_gel_sev}, 'confirmation')) or not(selected(${confirm_omeprazole_40mg_sev}, 'confirmation')) or not(selected(${confirm_buscopan_20mg_sev}, 'confirmation'))</t>
  </si>
  <si>
    <t>gastritis_sev_notes</t>
  </si>
  <si>
    <t>Notes cliniques :</t>
  </si>
  <si>
    <t>Nòt klinik :</t>
  </si>
  <si>
    <t>grp_gastritis_mild</t>
  </si>
  <si>
    <t>Gastrite / Ulcère</t>
  </si>
  <si>
    <t>Gastrit / Ilsè</t>
  </si>
  <si>
    <t>gastritis_mild_notification</t>
  </si>
  <si>
    <t>The patient has Gastritis / Ulcer</t>
  </si>
  <si>
    <t>gastritis_h_pylori_test_note</t>
  </si>
  <si>
    <t>The patient took a H. Pylori test and got the result: ${_h_pylori_rapid_test_result}</t>
  </si>
  <si>
    <t>gastritis_mild_protocol_negative_pylori</t>
  </si>
  <si>
    <t xml:space="preserve">Protocol: 
- Distribute 28 Omeprazole 20mg to be taken twice daily for 14 days 
- Distribute 20cc Litacid gel to be taken 30 min after meals. </t>
  </si>
  <si>
    <t>${_h_pylori_rapid_test_result} != 'positive'</t>
  </si>
  <si>
    <t>gastritis_mild_protocol_positive_pylori</t>
  </si>
  <si>
    <t>Protocol: 
- Distribute 28 Omeprazole 20mg to be taken twice daily for 14 days 
- Distribute 20cc Litacid gel to be taken 30 min after meals. 
- Distribute 42 Amoxycilline 500mg to be taken 3 times per day for 14 days
- Distribute 42 Metronidazole 500mg to be taken 3 times per day for 14 days</t>
  </si>
  <si>
    <t>${_h_pylori_rapid_test_result} = 'positive'</t>
  </si>
  <si>
    <t>gastritis_mild_counseling_hpylori_negative</t>
  </si>
  <si>
    <t>Counseling:
- Dietary Advice: No spices, avoid fried foods and foods that trigger symptoms, carbonated drinks, coffee and salty food, eat frequent small meals, no meals after 6:00pm, drink lenty of fluids even when no appetite</t>
  </si>
  <si>
    <t>gastritis_mild_counseling_hpylori_positive</t>
  </si>
  <si>
    <t>Counseling:
- Dietary Advice: No spices, avoid fried foods and foods that trigger symptoms, carbonated drinks, coffee and salty food, eat frequent small meals, no meals after 6:00pm, drink lenty of fluids even when no appetite
- Warn patient that they will have to finisht he full treatment or the problem will come back 
- Warn the patient they may have nausea. To reduce it take with a meal, and drink plenty of fluids 
- Inform patient to NEVER drink alcohol (beer, rum, any alcoholic beverage) when on these drugs</t>
  </si>
  <si>
    <t>confirm_omeprazole_20mg</t>
  </si>
  <si>
    <t>Did you distribute 28 Omeprazole 20mg (14-day supply)?</t>
  </si>
  <si>
    <t>_data_omeprazole_20mg_distributed</t>
  </si>
  <si>
    <t>if(selected(${confirm_omeprazole_20mg}, 'confirmation'), 28, 0)</t>
  </si>
  <si>
    <t>confirm_litacid_gel</t>
  </si>
  <si>
    <t>Did you distribute 1 Litacid Gel 20cc?</t>
  </si>
  <si>
    <t>_data_litacid_gel_distributed</t>
  </si>
  <si>
    <t>if(selected(${confirm_litacid_gel}, 'confirmation'), 1,0)</t>
  </si>
  <si>
    <t>confirm_amoxycilline_500mg</t>
  </si>
  <si>
    <t>Did you distribute 42 Amoxycilline 500mg?</t>
  </si>
  <si>
    <t>_data_amoxycilline_500mg_distributed</t>
  </si>
  <si>
    <t>if(selected(${confirm_amoxycilline_500mg}, 'confirmation'), 42, 0)</t>
  </si>
  <si>
    <t>confirm_metronidazole_500mg_gastritis</t>
  </si>
  <si>
    <t xml:space="preserve">Did you distribute 42 Metronidazole 500mg? </t>
  </si>
  <si>
    <t>_data_metronidazole_500mg_distributed_gastritis</t>
  </si>
  <si>
    <t>if(selected(${confirm_metronidazole_500mg_gastritis}, 'confirmation'), 42, 0)</t>
  </si>
  <si>
    <t>gastritis_mild_med_not_confirmed_reason</t>
  </si>
  <si>
    <t>not(selected(${confirm_omeprazole_20mg}, 'confirmation')) or not(selected(${confirm_litacid_gel}, 'confirmation')) or not(selected(${confirm_amoxycilline_500mg}, 'confirmation')) or not(selected(${confirm_metronidazole_500mg_gastritis}, 'confirmation'))</t>
  </si>
  <si>
    <t>gastritis_mild_notes</t>
  </si>
  <si>
    <t>grp_amoeba_giardia</t>
  </si>
  <si>
    <t>Infection possible à amibes ou à Giardia</t>
  </si>
  <si>
    <t>Enfeksyon posib ak Ameba oswa Giardia</t>
  </si>
  <si>
    <t>amoeba_notification</t>
  </si>
  <si>
    <t>The patient has Possible Amoeba or Giardia Infection</t>
  </si>
  <si>
    <t>amoeba_protocol</t>
  </si>
  <si>
    <t xml:space="preserve">Protocol: 
- If available, distribute 12 Tinidazole 500mg to be taken 4 tablets once a day for 3 days
- If Tinidazole is not available, distribute 15 Metronidazole 500mg to be taken 3 times daily for 5 days </t>
  </si>
  <si>
    <t>amoeba_counseling</t>
  </si>
  <si>
    <t>tinidazole_availability</t>
  </si>
  <si>
    <t xml:space="preserve">Are you able to distribute Tinidazole 500mg? </t>
  </si>
  <si>
    <t>confirm_tinidazole_500mg</t>
  </si>
  <si>
    <t>Did you distribute 12 Tinidazole 500mg?</t>
  </si>
  <si>
    <t>${tinidazole_availability} = 'yes'</t>
  </si>
  <si>
    <t>_data_tinidazole_500mg_distributed</t>
  </si>
  <si>
    <t>if(selected(${confirm_tinidazole_500mg}, 'confirmation'), 12, 0)</t>
  </si>
  <si>
    <t>confirm_metronidazole_500mg_amoeba_giardia</t>
  </si>
  <si>
    <t>Did you distribute 15 Metronidazole 500mg?</t>
  </si>
  <si>
    <t>${tinidazole_availability} = 'no'</t>
  </si>
  <si>
    <t>_data_metronidazole_500mg_distributed_amoeba_giardia</t>
  </si>
  <si>
    <t>if(selected(${confirm_metronidazole_500mg_amoeba_giardia}, 'confirmation'), 15, 0)</t>
  </si>
  <si>
    <t>amoeba_med_not_confirmed_reason</t>
  </si>
  <si>
    <t>(not(selected(${confirm_metronidazole_500mg_amoeba_giardia}, 'confirmation')) and ${tinidazole_availability} = 'no') or (not(selected(${confirm_tinidazole_500mg}, 'confirmation')) and ${tinidazole_availability} = 'yes')</t>
  </si>
  <si>
    <t>amoeba_notes</t>
  </si>
  <si>
    <t>grp_acute_diarrhea</t>
  </si>
  <si>
    <t>diarrhea_notification</t>
  </si>
  <si>
    <t>The patient has Acute Diarrhea</t>
  </si>
  <si>
    <t>diarrhea_protocol</t>
  </si>
  <si>
    <t>Protocol: 
- Administer ORS</t>
  </si>
  <si>
    <t>diarrhea_counseling</t>
  </si>
  <si>
    <t>confirm_ors_acute_diarrhea</t>
  </si>
  <si>
    <t>Did you administer 1 ORS packet?</t>
  </si>
  <si>
    <t>_data_ors_diarrhea_distributed</t>
  </si>
  <si>
    <t>if(selected(${confirm_ors_acute_diarrhea}, 'confirmation'), 1, 0)</t>
  </si>
  <si>
    <t>diarrhea_med_not_confirmed_reason</t>
  </si>
  <si>
    <t>not(selected(${confirm_ors_acute_diarrhea}, 'confirmation'))</t>
  </si>
  <si>
    <t>diarrhea_notes</t>
  </si>
  <si>
    <t>grp_tuberculosis</t>
  </si>
  <si>
    <t>Risque de tuberculose</t>
  </si>
  <si>
    <t>Risk pou tibèkiloz</t>
  </si>
  <si>
    <t>tb_notification</t>
  </si>
  <si>
    <t>The patient has Risk of Tuberculosis</t>
  </si>
  <si>
    <t>tb_protocol</t>
  </si>
  <si>
    <t>Protocol: 
- Refer for diagnosis and treatment
- Inform and motivate patient that TB treatment is completely free</t>
  </si>
  <si>
    <t>tb_counseling</t>
  </si>
  <si>
    <t>tb_notes</t>
  </si>
  <si>
    <t>grp_asthma</t>
  </si>
  <si>
    <t>Asthme</t>
  </si>
  <si>
    <t>Asm</t>
  </si>
  <si>
    <t>asthma_notification</t>
  </si>
  <si>
    <t>The patient has Asthma</t>
  </si>
  <si>
    <t>asthma_protocol</t>
  </si>
  <si>
    <t>Protocol: 
- Administer Nebulizer for immediate treatment
- Administer 1 Dexamethasone IM 8mg
- Distribute 14 Salbutamol 4mg tablets to be taken 2 times per day for 7 days</t>
  </si>
  <si>
    <t>asthma_counseling</t>
  </si>
  <si>
    <t xml:space="preserve">Counseling: 
- If the condition does not improve after two days, go to the hospital </t>
  </si>
  <si>
    <t>confirm_salbutamol_4mg</t>
  </si>
  <si>
    <t>Did you distribute 14 Salbutamol 4mg tablets?</t>
  </si>
  <si>
    <t>_data_salbutamol_4mg_distributed</t>
  </si>
  <si>
    <t>if(selected(${confirm_salbutamol_4mg}, 'confirmation'), 14,0)</t>
  </si>
  <si>
    <t>confirm_dexamethasone_8mg</t>
  </si>
  <si>
    <t>Did you administer 1 Dexamethasone 8mg IM?</t>
  </si>
  <si>
    <t>_data_dexamethasone_8mg_distributed</t>
  </si>
  <si>
    <t>if(selected(${confirm_dexamethasone_8mg}, 'confirmation'), 1, 0)</t>
  </si>
  <si>
    <t>asthma_med_not_confirmed_reason</t>
  </si>
  <si>
    <t>not(selected(${confirm_salbutamol_4mg}, 'confirmation')) or not(selected(${confirm_dexamethasone_8mg}, 'confirmation'))</t>
  </si>
  <si>
    <t>asthma_notes</t>
  </si>
  <si>
    <t>grp_pneumonia</t>
  </si>
  <si>
    <t>Risque de pneumonie</t>
  </si>
  <si>
    <t>Risk pou nemoni</t>
  </si>
  <si>
    <t>pneumonia_notification</t>
  </si>
  <si>
    <t>The patient has Risk of Pneumonia</t>
  </si>
  <si>
    <t>pneumonia_protocol</t>
  </si>
  <si>
    <t xml:space="preserve">Protocol: 
- Distribute 15 amoxycillin 500mg tablets to be taken 3 times per day for 5 days </t>
  </si>
  <si>
    <t>pneumonia_counseling</t>
  </si>
  <si>
    <t xml:space="preserve">Counseling: 
- Counsel patient to take full 5-day antibiotic course even if feeling better
- Counsel patient to go to hospital if no improvement after two days  </t>
  </si>
  <si>
    <t>confirm_amoxicillin_500mg_pneu</t>
  </si>
  <si>
    <t>Did you distribute 15 Amoxicillin 500mg?</t>
  </si>
  <si>
    <t>_data_amoxicillin_500mg_pneu_distributed</t>
  </si>
  <si>
    <t>if(selected(${confirm_amoxicillin_500mg_pneu}, 'confirmation'),15, 0)</t>
  </si>
  <si>
    <t>pneumonia_med_not_confirmed_reason</t>
  </si>
  <si>
    <t>not(selected(${confirm_amoxicillin_500mg_pneu}, 'confirmation'))</t>
  </si>
  <si>
    <t>pneumonia_notes</t>
  </si>
  <si>
    <t>grp_flu_like</t>
  </si>
  <si>
    <t>Syndrome grippal</t>
  </si>
  <si>
    <t>Sendwòm grip la</t>
  </si>
  <si>
    <t>flu_notification</t>
  </si>
  <si>
    <t>The patient has Flu-Like Syndrome</t>
  </si>
  <si>
    <t>flu_protocol</t>
  </si>
  <si>
    <t xml:space="preserve">Protocol: 
- (TODO: Flu-like sydrome not included in adult care protocols) 
</t>
  </si>
  <si>
    <t>flu_counseling</t>
  </si>
  <si>
    <t>flu_notes</t>
  </si>
  <si>
    <t>grp_malaria_pos</t>
  </si>
  <si>
    <t>${_malaria_rapid_test_result} = 'positive'</t>
  </si>
  <si>
    <t>malaria_pos_notification</t>
  </si>
  <si>
    <t>The patient has tested positive for Malaria</t>
  </si>
  <si>
    <t>malaria_pos_protocol</t>
  </si>
  <si>
    <t xml:space="preserve">Protocol: 
- Distribute 10 Chloroquine 150mg tablets to be taken as follows: 4 tabs on day 1, 3 tabs on day 2, 3 tabs on day 3
</t>
  </si>
  <si>
    <t>malaria_pos_counseling</t>
  </si>
  <si>
    <t>Counseling: 
- Counsel the patient to drink lots of fluids 
- Counsel the patient to look out for danger signs such as alteration of consciousness, respiratory distress, or abdominal pain
- If patient notices any danger signs, go to the hospital</t>
  </si>
  <si>
    <t>confirm_chloroquine_150mg</t>
  </si>
  <si>
    <t xml:space="preserve">Did you distribute 10 Chloroquine 150mg tablets? </t>
  </si>
  <si>
    <t>_data_chloroquine_150mg_distributed</t>
  </si>
  <si>
    <t>if(selected(${confirm_chloroquine_150mg}, 'confirmation'), 10, 0)</t>
  </si>
  <si>
    <t>malaria_pos_med_not_confirmed_reason</t>
  </si>
  <si>
    <t xml:space="preserve">not(selected(${confirm_chloroquine_150mg}, 'confirmation')) </t>
  </si>
  <si>
    <t>malaria_pos_notes</t>
  </si>
  <si>
    <t>grp_malaria_neg</t>
  </si>
  <si>
    <t>${_malaria_rapid_test_result} != 'positive' and ${_result_risk_malaria} = 'true'</t>
  </si>
  <si>
    <t>malaria_neg_notification</t>
  </si>
  <si>
    <t>The patient has tested negative for Malaria</t>
  </si>
  <si>
    <t>malaria_neg_protocol</t>
  </si>
  <si>
    <t>Protocol: 
- Distribute 18 Paracetamol 500 tablets to be taken as 1-2 tablets taken 3 times per day for 3 days</t>
  </si>
  <si>
    <t>malaria_neg_counseling</t>
  </si>
  <si>
    <t>confirm_paracetamol_500mg_mal_neg</t>
  </si>
  <si>
    <t>Did you distribute 18 Paracetamol 500mg tablets?</t>
  </si>
  <si>
    <t>_data_paracetamol_500mg_mal_neg_distributed</t>
  </si>
  <si>
    <t>if(selected(${confirm_paracetamol_500mg_mal_neg}, 'confirmation'), 'yes', 'no')</t>
  </si>
  <si>
    <t>malaria_neg_med_not_confirmed_reason</t>
  </si>
  <si>
    <t>not(selected(${confirm_paracetamol_500mg_mal_neg}, 'confirmation'))</t>
  </si>
  <si>
    <t>malaria_neg_notes</t>
  </si>
  <si>
    <t>grp_std_ulcer</t>
  </si>
  <si>
    <t>Risque de MST (ulcère / syphilis)</t>
  </si>
  <si>
    <t>Risk pou trape MST (Ilsè / Sifilis)</t>
  </si>
  <si>
    <t>std_ulcer_notification</t>
  </si>
  <si>
    <t>The patient has Genital Ulcer (Risk of Syphilis/STD)</t>
  </si>
  <si>
    <t>std_ulcer_protocol</t>
  </si>
  <si>
    <t>Protocol: 
- Administer 1 Benzathine Penicillin 2.4 million units IM single dose (give slowly!)
- Treat all sexual partners</t>
  </si>
  <si>
    <t>std_ulcer_counseling</t>
  </si>
  <si>
    <t>Counseling: 
- Provide counseling on condom use
- Ensure all sexual partners receive treatment</t>
  </si>
  <si>
    <t>confirm_benzathine_penicillin</t>
  </si>
  <si>
    <t>Did you administer 1 Benzathine Penicillin 2.4 MUI IM?</t>
  </si>
  <si>
    <t>_data_benzathine_penicillin_distributed</t>
  </si>
  <si>
    <t>if(selected(${confirm_benzathine_penicillin}, 'confirmation'), 1, 0)</t>
  </si>
  <si>
    <t>std_ulcer_med_not_confirmed_reason</t>
  </si>
  <si>
    <t>not(selected(${confirm_benzathine_penicillin}, 'confirmation'))</t>
  </si>
  <si>
    <t>std_ulcer_notes</t>
  </si>
  <si>
    <t>grp_std_discharge</t>
  </si>
  <si>
    <t>Risque d'IST (écoulement)</t>
  </si>
  <si>
    <t>Risk pou MST (Egzeyat)</t>
  </si>
  <si>
    <t>std_disc_notification</t>
  </si>
  <si>
    <t>The patient has Risk of Gonorrhea/Chlamydia</t>
  </si>
  <si>
    <t>std_disc_protocol</t>
  </si>
  <si>
    <t>Protocol: 
- Distribute 6 Ciprofloxacin 500mg to be taken twice daily for 3 days
- Distribute 28 Doxycycline 100mg to be taken twice daily for 14 days
- Treat all sexual partners</t>
  </si>
  <si>
    <t>std_disc_counseling</t>
  </si>
  <si>
    <t>confirm_ciprofloxacin_500mg_std</t>
  </si>
  <si>
    <t>Did you distribute 6 Ciprofloxacin 500mg?</t>
  </si>
  <si>
    <t>_data_ciprofloxacin_500mg_std_distributed</t>
  </si>
  <si>
    <t>if(selected(${confirm_ciprofloxacin_500mg_std}, 'confirmation'), 6, 0)</t>
  </si>
  <si>
    <t>confirm_doxycycline_100mg_std</t>
  </si>
  <si>
    <t>Did you distribute 28 Doxycycline 100mg?</t>
  </si>
  <si>
    <t>_data_doxycycline_100mg_std_distributed</t>
  </si>
  <si>
    <t>if(selected(${confirm_doxycycline_100mg_std}, 'confirmation'), 28, 0)</t>
  </si>
  <si>
    <t>std_disc_med_not_confirmed_reason</t>
  </si>
  <si>
    <t>not(selected(${confirm_ciprofloxacin_500mg_std}, 'confirmation')) or not(selected(${confirm_doxycycline_100mg_std}, 'confirmation'))</t>
  </si>
  <si>
    <t>std_disc_notes</t>
  </si>
  <si>
    <t>grp_uti</t>
  </si>
  <si>
    <t>Infection des voies urinaires</t>
  </si>
  <si>
    <t>Enfeksyon nan aparèy urinè</t>
  </si>
  <si>
    <t>uti_notification</t>
  </si>
  <si>
    <t>The patient has Urinary Tract Infection</t>
  </si>
  <si>
    <t>uti_protocol</t>
  </si>
  <si>
    <t>Protocol: 
- Distribute 21 Ciprofloxacin 500mg to be taken 3 times daily for 7 days
- Encourage high fluid intake</t>
  </si>
  <si>
    <t>uti_counseling</t>
  </si>
  <si>
    <t>Counseling: 
- Counsel patient to drink plenty of clean treated water daily
- Counsel patient to practice personal hygiene with clean water and wear loose underwear washed regularly
- Ensure patient understand to take the full treatment even when feeling better
- Inform patient if no improvement after 2 days, go to the health center</t>
  </si>
  <si>
    <t>confirm_ciprofloxacin_500mg_uti</t>
  </si>
  <si>
    <t>Did you distribute 21 Ciprofloxacin 500mg?</t>
  </si>
  <si>
    <t>_data_ciprofloxacin_500mg_uti_distributed</t>
  </si>
  <si>
    <t>if(selected(${confirm_ciprofloxacin_500mg_uti}, 'confirmation'), 21, 0)</t>
  </si>
  <si>
    <t>uti_med_not_confirmed_reason</t>
  </si>
  <si>
    <t>not(selected(${confirm_ciprofloxacin_500mg_uti}, 'confirmation'))</t>
  </si>
  <si>
    <t>uti_notes</t>
  </si>
  <si>
    <t>grp_impetigo</t>
  </si>
  <si>
    <t>impetigo_notification</t>
  </si>
  <si>
    <t>The patient has Impetigo or Folliculitis</t>
  </si>
  <si>
    <t>impetigo_protocol</t>
  </si>
  <si>
    <t xml:space="preserve">Protocol: 
- Clean sores with antiseptic
- Drain pus if fluctuant
- If &gt;4cm sores, red streaks, tender nodes, or multple abscesses for 5 or more days, distribute (and start immediately) 40 tablets of Cloxacillin 500mg to be taken 2-tablets 4 times daily every 6 hours for 5 days. 
- Apply antibiotic cream / triple antibiotic ointment 
</t>
  </si>
  <si>
    <t>impetigo_counseling</t>
  </si>
  <si>
    <t>confirm_cloxacillin_500mg_yesno</t>
  </si>
  <si>
    <t>Will you distribute 40 Cloxacillin 500mg?</t>
  </si>
  <si>
    <t>confirm_cloxacillin_500mg</t>
  </si>
  <si>
    <t>Did you distribute 40 Cloxacillin 500mg?</t>
  </si>
  <si>
    <t>Avez-vous distribué 40 comprimés de Cloxacilline 500 mg ?</t>
  </si>
  <si>
    <t>Èske ou te distribye 40 Cloxacillin 500mg?</t>
  </si>
  <si>
    <t>${confirm_cloxacillin_500mg_yesno} = 'yes'</t>
  </si>
  <si>
    <t>_data_cloxacillin_500mg_distributed</t>
  </si>
  <si>
    <t>if(selected(${confirm_cloxacillin_500mg}, 'confirmation'), 40, 0)</t>
  </si>
  <si>
    <t>confirm_triple_antibiotic_ointment</t>
  </si>
  <si>
    <t>Did you apply Triple Antibiotic Ointment?</t>
  </si>
  <si>
    <t>_data_triple_antibiotic_distributed</t>
  </si>
  <si>
    <t>if(selected(${confirm_triple_antibiotic_ointment}, 'confirmation'), 1, 0)</t>
  </si>
  <si>
    <t>impetigo_med_not_confirmed_reason</t>
  </si>
  <si>
    <t>(${confirm_cloxacillin_500mg_yesno} = 'yes' and not(selected(${confirm_cloxacillin_500mg}, 'confirmation'))) or not(selected(${confirm_triple_antibiotic_ointment}, 'confirmation'))</t>
  </si>
  <si>
    <t>impetigo_notes</t>
  </si>
  <si>
    <t>grp_scabies</t>
  </si>
  <si>
    <t>scabies_notification</t>
  </si>
  <si>
    <t>The patient has Scabies</t>
  </si>
  <si>
    <t>scabies_protocol</t>
  </si>
  <si>
    <t xml:space="preserve">Protocol: 
- Apply calamine lotion to treat itching
- Distribute 1 bottle 25% topical Benzyl Benzoate to be applied at night, repeat for 3 days after washing
- If it appears infected (red, warm, pus) distribute 40 Cloxacillin 500mg to be taken 2-tablets  times daily every 6 hours for 5 days </t>
  </si>
  <si>
    <t>scabies_counseling</t>
  </si>
  <si>
    <t xml:space="preserve">Counseling: 
- Counsel patient to treat all patient in household who are affected
- Counsel hygiene measures such as washing bed linen and clothes with warm water and dry in the sun and wash affected persons
</t>
  </si>
  <si>
    <t>confirm_benzyl_benzoate_25</t>
  </si>
  <si>
    <t>Did you distribute 1 bottle Benzyl Benzoate 25% lotion?</t>
  </si>
  <si>
    <t>_data_benzyl_benzoate_distributed</t>
  </si>
  <si>
    <t>if(selected(${confirm_benzyl_benzoate_25}, 'confirmation'), 1, 0)</t>
  </si>
  <si>
    <t>confirm_calamine_lotion</t>
  </si>
  <si>
    <t>Did you apply Calamine Lotion?</t>
  </si>
  <si>
    <t>_data_calamine_lotion_distributed</t>
  </si>
  <si>
    <t>if(selected(${confirm_calamine_lotion}, 'confirmation'), 1, 0)</t>
  </si>
  <si>
    <t>confirm_cloxaciline_500mg_scabies_yesno</t>
  </si>
  <si>
    <t>confirm_cloxaciline_500mg_scabies</t>
  </si>
  <si>
    <t>${confirm_cloxaciline_500mg_scabies_yesno} = 'yes'</t>
  </si>
  <si>
    <t>_data_cloxacilline_500mg_distributed_scabies</t>
  </si>
  <si>
    <t>if(selected(${confirm_cloxaciline_500mg_scabies}, 'confirmation'), 40, 0)</t>
  </si>
  <si>
    <t>scabies_med_not_confirmed_reason</t>
  </si>
  <si>
    <t>not(selected(${confirm_benzyl_benzoate_25}, 'confirmation')) or not(selected(${confirm_calamine_lotion}, 'confirmation')) or (${confirm_cloxaciline_500mg_scabies_yesno} = 'yes' and not(selected(${confirm_cloxaciline_500mg_scabies}, 'confirmation')))</t>
  </si>
  <si>
    <t>scabies_notes</t>
  </si>
  <si>
    <t>grp_ringworm</t>
  </si>
  <si>
    <t>ringworm_notification</t>
  </si>
  <si>
    <t>The patient has Ringworm (Tinea)</t>
  </si>
  <si>
    <t>ringworm_protocol</t>
  </si>
  <si>
    <t xml:space="preserve">Protocol: 
- Distribute 1 bottle Ketoconazole cream
- If extensive, give 84 griseofulvin tablets 125mg to be taken with a fatty meal, 2-tablets once a day every day for 6 weeks
- If in hair, shave hair
- If it appears infected (red, warm, pus) distribute 40 Cloxacillin 500mg to be taken 2-tablets  times daily every 6 hours for 5 days </t>
  </si>
  <si>
    <t>ringworm_counseling</t>
  </si>
  <si>
    <t>confirm_antifungal_cream</t>
  </si>
  <si>
    <t>Did you distribute 1 bottle Ketoconazole Antifungal Cream?</t>
  </si>
  <si>
    <t>_data_antifungal_cream_distributed</t>
  </si>
  <si>
    <t>if(selected(${confirm_antifungal_cream}, 'confirmation'), 1, 0)</t>
  </si>
  <si>
    <t>confirm_griseofulvin_125mg_ringworm_yesno</t>
  </si>
  <si>
    <t xml:space="preserve">Will you distribute 84 Griseofulvin 125mg tablets? </t>
  </si>
  <si>
    <t>confirm_griseofulvin_125mg_ringworm</t>
  </si>
  <si>
    <t>Did you distribute 84 Griseofulvin 125mg tablets?</t>
  </si>
  <si>
    <t>Avez-vous distribué 84 comprimés de griséofulvine 125 mg ?</t>
  </si>
  <si>
    <t>Èske ou te distribye 84 grenn Griseofulvin 125mg?</t>
  </si>
  <si>
    <t>${confirm_griseofulvin_125mg_ringworm_yesno} = 'yes'</t>
  </si>
  <si>
    <t>_data_griseofulvin_125mg_distributed_ringworm</t>
  </si>
  <si>
    <t>if(selected(${confirm_griseofulvin_125mg_ringworm}, 'confirmation'), 84, 0)</t>
  </si>
  <si>
    <t>confirm_cloxaciline_500mg_ringworm_yesno</t>
  </si>
  <si>
    <t>confirm_cloxaciline_500mg_ringworm</t>
  </si>
  <si>
    <t>${confirm_cloxaciline_500mg_ringworm_yesno} = 'yes'</t>
  </si>
  <si>
    <t>_data_cloxacilline_500mg_distributed_ringworm</t>
  </si>
  <si>
    <t>if(selected(${confirm_cloxaciline_500mg_ringworm}, 'confirmation'), 40, 0)</t>
  </si>
  <si>
    <t>ringworm_med_not_confirmed_reason</t>
  </si>
  <si>
    <t>not(selected(${confirm_antifungal_cream}, 'confirmation')) or (${confirm_griseofulvin_125mg_ringworm_yesno} = 'yes' and not(selected(${confirm_griseofulvin_125mg_ringworm}, 'confirmation'))) or (${confirm_cloxaciline_500mg_ringworm_yesno} = 'yes' and not(selected(${confirm_cloxaciline_500mg_ringworm}, 'confirmation')))</t>
  </si>
  <si>
    <t>ringworm_notes</t>
  </si>
  <si>
    <t>grp_moderate_anemia</t>
  </si>
  <si>
    <t>anemia_notification</t>
  </si>
  <si>
    <t>The patient has Moderate Anemia</t>
  </si>
  <si>
    <t>anemia_protocol</t>
  </si>
  <si>
    <t xml:space="preserve">Protocol: 
- Distribute 14 iron folic acid tablets to be taken 1 per day for 14 days </t>
  </si>
  <si>
    <t>anemia_counseling</t>
  </si>
  <si>
    <t>Counseling: 
- Provide dietary counseling on iron-rich foods such as green leaves (moringa, lyann panye, boujon manyok, boujon pwa), fruits, rasped carots and red beet</t>
  </si>
  <si>
    <t>confirm_iron_folic_acid</t>
  </si>
  <si>
    <t>Did you distribute 14 Iron Folic Acid tablets?</t>
  </si>
  <si>
    <t>_data_iron_folic_acid_distributed</t>
  </si>
  <si>
    <t>if(selected(${confirm_iron_folic_acid}, 'confirmation'), 14, 0)</t>
  </si>
  <si>
    <t>anemia_med_not_confirmed_reason</t>
  </si>
  <si>
    <t>not(selected(${confirm_iron_folic_acid}, 'confirmation'))</t>
  </si>
  <si>
    <t>anemia_notes</t>
  </si>
  <si>
    <t>grp_additional_prescriptions</t>
  </si>
  <si>
    <t>Additional Prescriptions</t>
  </si>
  <si>
    <t>not((selected(${confirm_paracetamol_500mg_gt20}, 'confirmation') or selected(${confirm_paracetamol_500mg_lt20}, 'confirmation') or selected(${confirm_paracetamol_500mg_mal_neg}, 'confirmation')) and selected(${confirm_iron_folic_acid}, 'confirmation'))</t>
  </si>
  <si>
    <t>select_multiple additional_medication</t>
  </si>
  <si>
    <t>prescribe_additional_medication</t>
  </si>
  <si>
    <t>Select additional medication to prescribe:</t>
  </si>
  <si>
    <t>Select Paracetamol or Iron and Folic Acid if needed.</t>
  </si>
  <si>
    <t>Sélectionnez le paracétamol ou le fer et acide folique si nécessaire.</t>
  </si>
  <si>
    <t>Chwazi Parasetamol oswa Fè ak Asid Folik si sa nesesè.</t>
  </si>
  <si>
    <t>not(selected(., 'paracetamol') and (selected(${confirm_paracetamol_500mg_gt20}, 'confirmation') or selected(${confirm_paracetamol_500mg_lt20}, 'confirmation') or selected(${confirm_paracetamol_500mg_mal_neg}, 'confirmation'))) and not(selected(., 'iron_folic_acid') and selected(${confirm_iron_folic_acid}, 'confirmation'))</t>
  </si>
  <si>
    <t>Paracetamol or Iron and Folic Acid cannot be prescribed because the patient has already received it for a treated condition.</t>
  </si>
  <si>
    <t>Le paracétamol ou le fer et acide folique ne peuvent pas être prescrits car le patient en a déjà reçu pour une affection traitée.</t>
  </si>
  <si>
    <t>Parasetamol oswa Fè ak Asid Folik pa ka preskri paske pasyan an deja resevwa li pou yon kondisyon ki trete.</t>
  </si>
  <si>
    <t>additional_med_protocol</t>
  </si>
  <si>
    <t>Protocol: 
- Distribute 28 paracetamol 500mg to be taken 1-2 tablets every 6-8 hours as needed.
OR 
- Distribute 14 Iron + Folic Acid tablet to be taken 1 daily for 14days.</t>
  </si>
  <si>
    <t>selected(${prescribe_additional_medication}, 'paracetamol') or selected(${prescribe_additional_medication}, 'iron_folic_acid')</t>
  </si>
  <si>
    <t>confirm_paracetamol_500mg_additional</t>
  </si>
  <si>
    <t>Did you distribute 28 Paracetamol 500mg?</t>
  </si>
  <si>
    <t>selected(${prescribe_additional_medication}, 'paracetamol') and not(selected(${confirm_paracetamol_500mg_gt20}, 'confirmation') or selected(${confirm_paracetamol_500mg_lt20}, 'confirmation') or selected(${confirm_paracetamol_500mg_mal_neg}, 'confirmation'))</t>
  </si>
  <si>
    <t>_data_paracetamol_500mg_additional_distributed</t>
  </si>
  <si>
    <t>if(selected(${confirm_paracetamol_500mg_additional}, 'confirmation'), 28, 0)</t>
  </si>
  <si>
    <t>confirm_iron_folic_acid_additional</t>
  </si>
  <si>
    <t>Did you distribute 14 Iron + Folic Acid tablets?</t>
  </si>
  <si>
    <t>selected(${prescribe_additional_medication}, 'iron_folic_acid') and not(selected(${confirm_iron_folic_acid}, 'confirmation'))</t>
  </si>
  <si>
    <t>_data_iron_folic_acid_additional_distributed</t>
  </si>
  <si>
    <t>if(selected(${confirm_iron_folic_acid_additional}, 'confirmation'), 14, 0)</t>
  </si>
  <si>
    <t>additional_med_not_confirmed_reason</t>
  </si>
  <si>
    <t>Veuillez expliquer pourquoi un médicament prescrit n'a pas été distribué.</t>
  </si>
  <si>
    <t>Tanpri eksplike poukisa medikaman preskri a pa t distribye.</t>
  </si>
  <si>
    <t>(selected(${prescribe_additional_medication}, 'paracetamol') and not(selected(${confirm_paracetamol_500mg_additional}, 'confirmation'))) or (selected(${prescribe_additional_medication}, 'iron_folic_acid') and not(selected(${confirm_iron_folic_acid_additional}, 'confirmation')))</t>
  </si>
  <si>
    <t>additional_med_notes</t>
  </si>
  <si>
    <t>referrals</t>
  </si>
  <si>
    <t>Refer</t>
  </si>
  <si>
    <t>select_multiple refer_location</t>
  </si>
  <si>
    <t>referral_location</t>
  </si>
  <si>
    <t xml:space="preserve">Which location did you refer? </t>
  </si>
  <si>
    <t>referral_location_other</t>
  </si>
  <si>
    <t xml:space="preserve">If other, which location? </t>
  </si>
  <si>
    <t>selected(${referral_location}, 'other')</t>
  </si>
  <si>
    <t>total_nifedipine_20mg</t>
  </si>
  <si>
    <t>${_data_nifedipine_20mg_pre_eclampsia_distributed} + ${_data_nifedipine_20mg_gt20_distributed} + ${_data_nifedipine_20mg_gest_sev_distributed} + ${_data_nifedipine_20mg_gest_mild_distributed}</t>
  </si>
  <si>
    <t>total_paracetamol_500mg</t>
  </si>
  <si>
    <t>${_data_paracetamol_500mg_gt20_distributed} + ${_data_paracetamol_500mg_lt20_distributed} + if(selected(${confirm_paracetamol_500mg_mal_neg}, 'confirmation'), 18, 0) + ${_data_paracetamol_500mg_additional_distributed}</t>
  </si>
  <si>
    <t>total_amoxycillin_500mg</t>
  </si>
  <si>
    <t>${_data_amoxicillin_500mg_preg_distributed} + ${_data_amoxycilline_500mg_distributed} + ${_data_amoxicillin_500mg_pneu_distributed}</t>
  </si>
  <si>
    <t>total_hctz_25mg</t>
  </si>
  <si>
    <t>${_data_hctz_25mg_g2_distributed} + ${_data_hctz_25mg_g1_distributed}</t>
  </si>
  <si>
    <t>total_ciprofloxacin_500mg</t>
  </si>
  <si>
    <t>${_data_ciprofloxacin_500mg_std_distributed} + ${_data_ciprofloxacin_500mg_uti_distributed}</t>
  </si>
  <si>
    <t>total_metronidazole_500mg</t>
  </si>
  <si>
    <t>${_data_metronidazole_500mg_distributed_gastritis} + ${_data_metronidazole_500mg_distributed_amoeba_giardia}</t>
  </si>
  <si>
    <t>total_cloxacillin_500mg</t>
  </si>
  <si>
    <t>${_data_cloxacillin_500mg_distributed} + ${_data_cloxacilline_500mg_distributed_scabies} + ${_data_cloxacilline_500mg_distributed_ringworm}</t>
  </si>
  <si>
    <t>total_litacid_gel</t>
  </si>
  <si>
    <t>${_data_litacid_gel_sev_distributed} + ${_data_litacid_gel_distributed}</t>
  </si>
  <si>
    <t>total_iron_folic_acid</t>
  </si>
  <si>
    <t>${_data_iron_folic_acid_distributed} + ${_data_iron_folic_acid_additional_distributed}</t>
  </si>
  <si>
    <t>total_nifedipine_10mg</t>
  </si>
  <si>
    <t>${_data_nifedipine_10mg_urgency_distributed}</t>
  </si>
  <si>
    <t>total_enalapril_10mg</t>
  </si>
  <si>
    <t>${_data_enalapril_10mg_g2_distributed}</t>
  </si>
  <si>
    <t>total_metformin_500mg</t>
  </si>
  <si>
    <t>${_data_metformin_500mg_distributed}</t>
  </si>
  <si>
    <t>total_omeprazole_40mg</t>
  </si>
  <si>
    <t>${_data_omeprazole_40mg_sev_distributed}</t>
  </si>
  <si>
    <t>total_buscopan_20mg</t>
  </si>
  <si>
    <t>${_data_buscopan_20mg_sev_distributed}</t>
  </si>
  <si>
    <t>total_omeprazole_20mg</t>
  </si>
  <si>
    <t>${_data_omeprazole_20mg_distributed}</t>
  </si>
  <si>
    <t>total_tinidazole_500mg</t>
  </si>
  <si>
    <t>${_data_tinidazole_500mg_distributed}</t>
  </si>
  <si>
    <t>total_ors</t>
  </si>
  <si>
    <t>${_data_ors_diarrhea_distributed}</t>
  </si>
  <si>
    <t>total_salbutamol_4mg</t>
  </si>
  <si>
    <t>${_data_salbutamol_4mg_distributed}</t>
  </si>
  <si>
    <t>total_dexamethasone_8mg</t>
  </si>
  <si>
    <t>${_data_dexamethasone_8mg_distributed}</t>
  </si>
  <si>
    <t>total_chloroquine_150mg</t>
  </si>
  <si>
    <t>${_data_chloroquine_150mg_distributed}</t>
  </si>
  <si>
    <t>total_benzathine_penicillin</t>
  </si>
  <si>
    <t>${_data_benzathine_penicillin_distributed}</t>
  </si>
  <si>
    <t>total_doxycycline_100mg</t>
  </si>
  <si>
    <t>${_data_doxycycline_100mg_std_distributed}</t>
  </si>
  <si>
    <t>total_triple_antibiotic</t>
  </si>
  <si>
    <t>${_data_triple_antibiotic_distributed}</t>
  </si>
  <si>
    <t>total_benzyl_benzoate_25</t>
  </si>
  <si>
    <t>${_data_benzyl_benzoate_distributed}</t>
  </si>
  <si>
    <t>total_calamine_lotion</t>
  </si>
  <si>
    <t>${_data_calamine_lotion_distributed}</t>
  </si>
  <si>
    <t>total_antifungal_cream</t>
  </si>
  <si>
    <t>${_data_antifungal_cream_distributed}</t>
  </si>
  <si>
    <t>total_griseofulvin_125mg</t>
  </si>
  <si>
    <t>${_data_griseofulvin_125mg_distributed_ringworm}</t>
  </si>
  <si>
    <t>clinic_id</t>
  </si>
  <si>
    <t>../inputs/user/facility_id</t>
  </si>
  <si>
    <t>prescription_summary</t>
  </si>
  <si>
    <t>stock_monitoring_reported_date</t>
  </si>
  <si>
    <t>now()</t>
  </si>
  <si>
    <t>place_id</t>
  </si>
  <si>
    <t>${clinic_id}</t>
  </si>
  <si>
    <t>"data_record"</t>
  </si>
  <si>
    <t>created_from</t>
  </si>
  <si>
    <t>.</t>
  </si>
  <si>
    <t>/ADT_Form014_Summary</t>
  </si>
  <si>
    <t>created_from_name</t>
  </si>
  <si>
    <t>"ADT_Form014_Summary"</t>
  </si>
  <si>
    <t>content_type</t>
  </si>
  <si>
    <t>"xml"</t>
  </si>
  <si>
    <t>form</t>
  </si>
  <si>
    <t>"prescription_summary"</t>
  </si>
  <si>
    <t>fields</t>
  </si>
  <si>
    <t>Medicine_out</t>
  </si>
  <si>
    <t>litacid_gel_used_in_ADT_Form014_Summary</t>
  </si>
  <si>
    <t>${total_litacid_gel}</t>
  </si>
  <si>
    <t>omeprazole_injectable_used_in_ADT_Form014_Summary</t>
  </si>
  <si>
    <t>${total_omeprazole_40mg}</t>
  </si>
  <si>
    <t>buscopan_injectable_used_in_ADT_Form014_Summary</t>
  </si>
  <si>
    <t>${total_buscopan_20mg}</t>
  </si>
  <si>
    <t>benzathine_penicillin_injectable_used_in_ADT_Form014_Summary</t>
  </si>
  <si>
    <t>${total_benzathine_penicillin}</t>
  </si>
  <si>
    <t>dexamethasone_injectable_used_in_ADT_Form014_Summary</t>
  </si>
  <si>
    <t>${total_dexamethasone_8mg}</t>
  </si>
  <si>
    <t>triple_antibiotic_ointment_used_in_ADT_Form014_Summary</t>
  </si>
  <si>
    <t>${total_triple_antibiotic}</t>
  </si>
  <si>
    <t>benzyl_benzoate_25_used_in_ADT_Form014_Summary</t>
  </si>
  <si>
    <t>${total_benzyl_benzoate_25}</t>
  </si>
  <si>
    <t>calamine_lotion_used_in_ADT_Form014_Summary</t>
  </si>
  <si>
    <t>${total_calamine_lotion}</t>
  </si>
  <si>
    <t>antifungal_cream_used_in_ADT_Form014_Summary</t>
  </si>
  <si>
    <t>${total_antifungal_cream}</t>
  </si>
  <si>
    <t>nifedipine_20mg_used_in</t>
  </si>
  <si>
    <t>${total_nifedipine_20mg}</t>
  </si>
  <si>
    <t>nifedipine_20mg___set</t>
  </si>
  <si>
    <t>if(count-selected(${nifedipine_20mg_used_in}) &gt; 0 and count-selected(substring-before(${nifedipine_20mg_used_in}, "/")) &gt;= 0 and regex(substring-before(${nifedipine_20mg_used_in}, "/"), '^[0-9]+$'),number(substring-before(${nifedipine_20mg_used_in}, "/")),0)</t>
  </si>
  <si>
    <t>nifedipine_20mg___unit</t>
  </si>
  <si>
    <t>if(count-selected(${nifedipine_20mg_used_in}) &gt; 0 and count-selected(substring-after(${nifedipine_20mg_used_in}, "/")) &gt;= 0 and regex(substring-after(${nifedipine_20mg_used_in}, "/"), '^[0-9]+$'),number(substring-after(${nifedipine_20mg_used_in}, "/")),0)</t>
  </si>
  <si>
    <t>nifedipine_20mg_used_in_ADT_Form014_Summary</t>
  </si>
  <si>
    <t>${nifedipine_20mg___set} * X + ${nifedipine_20mg___unit}</t>
  </si>
  <si>
    <t>paracetamol_500mg_used_in</t>
  </si>
  <si>
    <t>${total_paracetamol_500mg}</t>
  </si>
  <si>
    <t>paracetamol_500mg___set</t>
  </si>
  <si>
    <t>if(count-selected(${paracetamol_500mg_used_in}) &gt; 0 and count-selected(substring-before(${paracetamol_500mg_used_in}, "/")) &gt;= 0 and regex(substring-before(${paracetamol_500mg_used_in}, "/"), '^[0-9]+$'),number(substring-before(${paracetamol_500mg_used_in}, "/")),0)</t>
  </si>
  <si>
    <t>paracetamol_500mg___unit</t>
  </si>
  <si>
    <t>if(count-selected(${paracetamol_500mg_used_in}) &gt; 0 and count-selected(substring-after(${paracetamol_500mg_used_in}, "/")) &gt;= 0 and regex(substring-after(${paracetamol_500mg_used_in}, "/"), '^[0-9]+$'),number(substring-after(${paracetamol_500mg_used_in}, "/")),0)</t>
  </si>
  <si>
    <t>paracetamol_500mg_used_in_ADT_Form014_Summary</t>
  </si>
  <si>
    <t>${paracetamol_500mg___set} * X + ${paracetamol_500mg___unit}</t>
  </si>
  <si>
    <t>amoxycillin_500mg_used_in</t>
  </si>
  <si>
    <t>${total_amoxycillin_500mg}</t>
  </si>
  <si>
    <t>amoxycillin_500mg___set</t>
  </si>
  <si>
    <t>if(count-selected(${amoxycillin_500mg_used_in}) &gt; 0 and count-selected(substring-before(${amoxycillin_500mg_used_in}, "/")) &gt;= 0 and regex(substring-before(${amoxycillin_500mg_used_in}, "/"), '^[0-9]+$'),number(substring-before(${amoxycillin_500mg_used_in}, "/")),0)</t>
  </si>
  <si>
    <t>amoxycillin_500mg___unit</t>
  </si>
  <si>
    <t>if(count-selected(${amoxycillin_500mg_used_in}) &gt; 0 and count-selected(substring-after(${amoxycillin_500mg_used_in}, "/")) &gt;= 0 and regex(substring-after(${amoxycillin_500mg_used_in}, "/"), '^[0-9]+$'),number(substring-after(${amoxycillin_500mg_used_in}, "/")),0)</t>
  </si>
  <si>
    <t>amoxycillin_500mg_used_in_ADT_Form014_Summary</t>
  </si>
  <si>
    <t>${amoxycillin_500mg___set} * X + ${amoxycillin_500mg___unit}</t>
  </si>
  <si>
    <t>nifedipine_10mg_used_in</t>
  </si>
  <si>
    <t>${total_nifedipine_10mg}</t>
  </si>
  <si>
    <t>nifedipine_10mg___set</t>
  </si>
  <si>
    <t>if(count-selected(${nifedipine_10mg_used_in}) &gt; 0 and count-selected(substring-before(${nifedipine_10mg_used_in}, "/")) &gt;= 0 and regex(substring-before(${nifedipine_10mg_used_in}, "/"), '^[0-9]+$'),number(substring-before(${nifedipine_10mg_used_in}, "/")),0)</t>
  </si>
  <si>
    <t>nifedipine_10mg___unit</t>
  </si>
  <si>
    <t>if(count-selected(${nifedipine_10mg_used_in}) &gt; 0 and count-selected(substring-after(${nifedipine_10mg_used_in}, "/")) &gt;= 0 and regex(substring-after(${nifedipine_10mg_used_in}, "/"), '^[0-9]+$'),number(substring-after(${nifedipine_10mg_used_in}, "/")),0)</t>
  </si>
  <si>
    <t>nifedipine_10mg_used_in_ADT_Form014_Summary</t>
  </si>
  <si>
    <t>${nifedipine_10mg___set} * X + ${nifedipine_10mg___unit}</t>
  </si>
  <si>
    <t>hctz_25mg_used_in</t>
  </si>
  <si>
    <t>${total_hctz_25mg}</t>
  </si>
  <si>
    <t>hctz_25mg___set</t>
  </si>
  <si>
    <t>if(count-selected(${hctz_25mg_used_in}) &gt; 0 and count-selected(substring-before(${hctz_25mg_used_in}, "/")) &gt;= 0 and regex(substring-before(${hctz_25mg_used_in}, "/"), '^[0-9]+$'),number(substring-before(${hctz_25mg_used_in}, "/")),0)</t>
  </si>
  <si>
    <t>hctz_25mg___unit</t>
  </si>
  <si>
    <t>if(count-selected(${hctz_25mg_used_in}) &gt; 0 and count-selected(substring-after(${hctz_25mg_used_in}, "/")) &gt;= 0 and regex(substring-after(${hctz_25mg_used_in}, "/"), '^[0-9]+$'),number(substring-after(${hctz_25mg_used_in}, "/")),0)</t>
  </si>
  <si>
    <t>hctz_25mg_used_in_ADT_Form014_Summary</t>
  </si>
  <si>
    <t>${hctz_25mg___set} * X + ${hctz_25mg___unit}</t>
  </si>
  <si>
    <t>enalapril_10mg_used_in</t>
  </si>
  <si>
    <t>${total_enalapril_10mg}</t>
  </si>
  <si>
    <t>enalapril_10mg___set</t>
  </si>
  <si>
    <t>if(count-selected(${enalapril_10mg_used_in}) &gt; 0 and count-selected(substring-before(${enalapril_10mg_used_in}, "/")) &gt;= 0 and regex(substring-before(${enalapril_10mg_used_in}, "/"), '^[0-9]+$'),number(substring-before(${enalapril_10mg_used_in}, "/")),0)</t>
  </si>
  <si>
    <t>enalapril_10mg___unit</t>
  </si>
  <si>
    <t>if(count-selected(${enalapril_10mg_used_in}) &gt; 0 and count-selected(substring-after(${enalapril_10mg_used_in}, "/")) &gt;= 0 and regex(substring-after(${enalapril_10mg_used_in}, "/"), '^[0-9]+$'),number(substring-after(${enalapril_10mg_used_in}, "/")),0)</t>
  </si>
  <si>
    <t>enalapril_10mg_used_in_ADT_Form014_Summary</t>
  </si>
  <si>
    <t>${enalapril_10mg___set} * X + ${enalapril_10mg___unit}</t>
  </si>
  <si>
    <t>metformin_500mg_used_in</t>
  </si>
  <si>
    <t>${total_metformin_500mg}</t>
  </si>
  <si>
    <t>metformin_500mg___set</t>
  </si>
  <si>
    <t>if(count-selected(${metformin_500mg_used_in}) &gt; 0 and count-selected(substring-before(${metformin_500mg_used_in}, "/")) &gt;= 0 and regex(substring-before(${metformin_500mg_used_in}, "/"), '^[0-9]+$'),number(substring-before(${metformin_500mg_used_in}, "/")),0)</t>
  </si>
  <si>
    <t>metformin_500mg___unit</t>
  </si>
  <si>
    <t>if(count-selected(${metformin_500mg_used_in}) &gt; 0 and count-selected(substring-after(${metformin_500mg_used_in}, "/")) &gt;= 0 and regex(substring-after(${metformin_500mg_used_in}, "/"), '^[0-9]+$'),number(substring-after(${metformin_500mg_used_in}, "/")),0)</t>
  </si>
  <si>
    <t>metformin_500mg_used_in_ADT_Form014_Summary</t>
  </si>
  <si>
    <t>${metformin_500mg___set} * X + ${metformin_500mg___unit}</t>
  </si>
  <si>
    <t>omeprazole_20mg_used_in</t>
  </si>
  <si>
    <t>${total_omeprazole_20mg}</t>
  </si>
  <si>
    <t>omeprazole_20mg___set</t>
  </si>
  <si>
    <t>if(count-selected(${omeprazole_20mg_used_in}) &gt; 0 and count-selected(substring-before(${omeprazole_20mg_used_in}, "/")) &gt;= 0 and regex(substring-before(${omeprazole_20mg_used_in}, "/"), '^[0-9]+$'),number(substring-before(${omeprazole_20mg_used_in}, "/")),0)</t>
  </si>
  <si>
    <t>omeprazole_20mg___unit</t>
  </si>
  <si>
    <t>if(count-selected(${omeprazole_20mg_used_in}) &gt; 0 and count-selected(substring-after(${omeprazole_20mg_used_in}, "/")) &gt;= 0 and regex(substring-after(${omeprazole_20mg_used_in}, "/"), '^[0-9]+$'),number(substring-after(${omeprazole_20mg_used_in}, "/")),0)</t>
  </si>
  <si>
    <t>omeprazole_20mg_used_in_ADT_Form014_Summary</t>
  </si>
  <si>
    <t>${omeprazole_20mg___set} * X + ${omeprazole_20mg___unit}</t>
  </si>
  <si>
    <t>metronidazole_500mg_used_in</t>
  </si>
  <si>
    <t>${total_metronidazole_500mg}</t>
  </si>
  <si>
    <t>metronidazole_500mg___set</t>
  </si>
  <si>
    <t>if(count-selected(${metronidazole_500mg_used_in}) &gt; 0 and count-selected(substring-before(${metronidazole_500mg_used_in}, "/")) &gt;= 0 and regex(substring-before(${metronidazole_500mg_used_in}, "/"), '^[0-9]+$'),number(substring-before(${metronidazole_500mg_used_in}, "/")),0)</t>
  </si>
  <si>
    <t>metronidazole_500mg___unit</t>
  </si>
  <si>
    <t>if(count-selected(${metronidazole_500mg_used_in}) &gt; 0 and count-selected(substring-after(${metronidazole_500mg_used_in}, "/")) &gt;= 0 and regex(substring-after(${metronidazole_500mg_used_in}, "/"), '^[0-9]+$'),number(substring-after(${metronidazole_500mg_used_in}, "/")),0)</t>
  </si>
  <si>
    <t>metronidazole_500mg_used_in_ADT_Form014_Summary</t>
  </si>
  <si>
    <t>${metronidazole_500mg___set} * X + ${metronidazole_500mg___unit}</t>
  </si>
  <si>
    <t>tinidazole_500mg_used_in</t>
  </si>
  <si>
    <t>${total_tinidazole_500mg}</t>
  </si>
  <si>
    <t>tinidazole_500mg___set</t>
  </si>
  <si>
    <t>if(count-selected(${tinidazole_500mg_used_in}) &gt; 0 and count-selected(substring-before(${tinidazole_500mg_used_in}, "/")) &gt;= 0 and regex(substring-before(${tinidazole_500mg_used_in}, "/"), '^[0-9]+$'),number(substring-before(${tinidazole_500mg_used_in}, "/")),0)</t>
  </si>
  <si>
    <t>tinidazole_500mg___unit</t>
  </si>
  <si>
    <t>if(count-selected(${tinidazole_500mg_used_in}) &gt; 0 and count-selected(substring-after(${tinidazole_500mg_used_in}, "/")) &gt;= 0 and regex(substring-after(${tinidazole_500mg_used_in}, "/"), '^[0-9]+$'),number(substring-after(${tinidazole_500mg_used_in}, "/")),0)</t>
  </si>
  <si>
    <t>tinidazole_500mg_used_in_ADT_Form014_Summary</t>
  </si>
  <si>
    <t>${tinidazole_500mg___set} * X + ${tinidazole_500mg___unit}</t>
  </si>
  <si>
    <t>ors_used_in</t>
  </si>
  <si>
    <t>${total_ors}</t>
  </si>
  <si>
    <t>ors___set</t>
  </si>
  <si>
    <t>if(count-selected(${ors_used_in}) &gt; 0 and count-selected(substring-before(${ors_used_in}, "/")) &gt;= 0 and regex(substring-before(${ors_used_in}, "/"), '^[0-9]+$'),number(substring-before(${ors_used_in}, "/")),0)</t>
  </si>
  <si>
    <t>ors___unit</t>
  </si>
  <si>
    <t>if(count-selected(${ors_used_in}) &gt; 0 and count-selected(substring-after(${ors_used_in}, "/")) &gt;= 0 and regex(substring-after(${ors_used_in}, "/"), '^[0-9]+$'),number(substring-after(${ors_used_in}, "/")),0)</t>
  </si>
  <si>
    <t>ors_used_in_ADT_Form014_Summary</t>
  </si>
  <si>
    <t>${ors___set} * X + ${ors___unit}</t>
  </si>
  <si>
    <t>salbutamol_4mg_used_in</t>
  </si>
  <si>
    <t>${total_salbutamol_4mg}</t>
  </si>
  <si>
    <t>salbutamol_4mg___set</t>
  </si>
  <si>
    <t>if(count-selected(${salbutamol_4mg_used_in}) &gt; 0 and count-selected(substring-before(${salbutamol_4mg_used_in}, "/")) &gt;= 0 and regex(substring-before(${salbutamol_4mg_used_in}, "/"), '^[0-9]+$'),number(substring-before(${salbutamol_4mg_used_in}, "/")),0)</t>
  </si>
  <si>
    <t>salbutamol_4mg___unit</t>
  </si>
  <si>
    <t>if(count-selected(${salbutamol_4mg_used_in}) &gt; 0 and count-selected(substring-after(${salbutamol_4mg_used_in}, "/")) &gt;= 0 and regex(substring-after(${salbutamol_4mg_used_in}, "/"), '^[0-9]+$'),number(substring-after(${salbutamol_4mg_used_in}, "/")),0)</t>
  </si>
  <si>
    <t>salbutamol_4mg_used_in_ADT_Form014_Summary</t>
  </si>
  <si>
    <t>${salbutamol_4mg___set} * X + ${salbutamol_4mg___unit}</t>
  </si>
  <si>
    <t>chloroquine_150mg_used_in</t>
  </si>
  <si>
    <t>${total_chloroquine_150mg}</t>
  </si>
  <si>
    <t>chloroquine_150mg___set</t>
  </si>
  <si>
    <t>if(count-selected(${chloroquine_150mg_used_in}) &gt; 0 and count-selected(substring-before(${chloroquine_150mg_used_in}, "/")) &gt;= 0 and regex(substring-before(${chloroquine_150mg_used_in}, "/"), '^[0-9]+$'),number(substring-before(${chloroquine_150mg_used_in}, "/")),0)</t>
  </si>
  <si>
    <t>chloroquine_150mg___unit</t>
  </si>
  <si>
    <t>if(count-selected(${chloroquine_150mg_used_in}) &gt; 0 and count-selected(substring-after(${chloroquine_150mg_used_in}, "/")) &gt;= 0 and regex(substring-after(${chloroquine_150mg_used_in}, "/"), '^[0-9]+$'),number(substring-after(${chloroquine_150mg_used_in}, "/")),0)</t>
  </si>
  <si>
    <t>chloroquine_150mg_used_in_ADT_Form014_Summary</t>
  </si>
  <si>
    <t>${chloroquine_150mg___set} * X + ${chloroquine_150mg___unit}</t>
  </si>
  <si>
    <t>ciprofloxacin_500mg_used_in</t>
  </si>
  <si>
    <t>${total_ciprofloxacin_500mg}</t>
  </si>
  <si>
    <t>ciprofloxacin_500mg___set</t>
  </si>
  <si>
    <t>if(count-selected(${ciprofloxacin_500mg_used_in}) &gt; 0 and count-selected(substring-before(${ciprofloxacin_500mg_used_in}, "/")) &gt;= 0 and regex(substring-before(${ciprofloxacin_500mg_used_in}, "/"), '^[0-9]+$'),number(substring-before(${ciprofloxacin_500mg_used_in}, "/")),0)</t>
  </si>
  <si>
    <t>ciprofloxacin_500mg___unit</t>
  </si>
  <si>
    <t>if(count-selected(${ciprofloxacin_500mg_used_in}) &gt; 0 and count-selected(substring-after(${ciprofloxacin_500mg_used_in}, "/")) &gt;= 0 and regex(substring-after(${ciprofloxacin_500mg_used_in}, "/"), '^[0-9]+$'),number(substring-after(${ciprofloxacin_500mg_used_in}, "/")),0)</t>
  </si>
  <si>
    <t>ciprofloxacin_500mg_used_in_ADT_Form014_Summary</t>
  </si>
  <si>
    <t>${ciprofloxacin_500mg___set} * X + ${ciprofloxacin_500mg___unit}</t>
  </si>
  <si>
    <t>doxycycline_100mg_used_in</t>
  </si>
  <si>
    <t>${total_doxycycline_100mg}</t>
  </si>
  <si>
    <t>doxycycline_100mg___set</t>
  </si>
  <si>
    <t>if(count-selected(${doxycycline_100mg_used_in}) &gt; 0 and count-selected(substring-before(${doxycycline_100mg_used_in}, "/")) &gt;= 0 and regex(substring-before(${doxycycline_100mg_used_in}, "/"), '^[0-9]+$'),number(substring-before(${doxycycline_100mg_used_in}, "/")),0)</t>
  </si>
  <si>
    <t>doxycycline_100mg___unit</t>
  </si>
  <si>
    <t>if(count-selected(${doxycycline_100mg_used_in}) &gt; 0 and count-selected(substring-after(${doxycycline_100mg_used_in}, "/")) &gt;= 0 and regex(substring-after(${doxycycline_100mg_used_in}, "/"), '^[0-9]+$'),number(substring-after(${doxycycline_100mg_used_in}, "/")),0)</t>
  </si>
  <si>
    <t>doxycycline_100mg_used_in_ADT_Form014_Summary</t>
  </si>
  <si>
    <t>${doxycycline_100mg___set} * X + ${doxycycline_100mg___unit}</t>
  </si>
  <si>
    <t>cloxacillin_500mg_used_in</t>
  </si>
  <si>
    <t>${total_cloxacillin_500mg}</t>
  </si>
  <si>
    <t>cloxacillin_500mg___set</t>
  </si>
  <si>
    <t>if(count-selected(${cloxacillin_500mg_used_in}) &gt; 0 and count-selected(substring-before(${cloxacillin_500mg_used_in}, "/")) &gt;= 0 and regex(substring-before(${cloxacillin_500mg_used_in}, "/"), '^[0-9]+$'),number(substring-before(${cloxacillin_500mg_used_in}, "/")),0)</t>
  </si>
  <si>
    <t>cloxacillin_500mg___unit</t>
  </si>
  <si>
    <t>if(count-selected(${cloxacillin_500mg_used_in}) &gt; 0 and count-selected(substring-after(${cloxacillin_500mg_used_in}, "/")) &gt;= 0 and regex(substring-after(${cloxacillin_500mg_used_in}, "/"), '^[0-9]+$'),number(substring-after(${cloxacillin_500mg_used_in}, "/")),0)</t>
  </si>
  <si>
    <t>cloxacillin_500mg_used_in_ADT_Form014_Summary</t>
  </si>
  <si>
    <t>${cloxacillin_500mg___set} * X + ${cloxacillin_500mg___unit}</t>
  </si>
  <si>
    <t>griseofulvin_125mg_used_in</t>
  </si>
  <si>
    <t>${total_griseofulvin_125mg}</t>
  </si>
  <si>
    <t>griseofulvin_125mg___set</t>
  </si>
  <si>
    <t>if(count-selected(${griseofulvin_125mg_used_in}) &gt; 0 and count-selected(substring-before(${griseofulvin_125mg_used_in}, "/")) &gt;= 0 and regex(substring-before(${griseofulvin_125mg_used_in}, "/"), '^[0-9]+$'),number(substring-before(${griseofulvin_125mg_used_in}, "/")),0)</t>
  </si>
  <si>
    <t>griseofulvin_125mg___unit</t>
  </si>
  <si>
    <t>if(count-selected(${griseofulvin_125mg_used_in}) &gt; 0 and count-selected(substring-after(${griseofulvin_125mg_used_in}, "/")) &gt;= 0 and regex(substring-after(${griseofulvin_125mg_used_in}, "/"), '^[0-9]+$'),number(substring-after(${griseofulvin_125mg_used_in}, "/")),0)</t>
  </si>
  <si>
    <t>griseofulvin_125mg_used_in_ADT_Form014_Summary</t>
  </si>
  <si>
    <t>${griseofulvin_125mg___set} * X + ${griseofulvin_125mg___unit}</t>
  </si>
  <si>
    <t>iron_folic_acid_used_in</t>
  </si>
  <si>
    <t>${total_iron_folic_acid}</t>
  </si>
  <si>
    <t>iron_folic_acid___set</t>
  </si>
  <si>
    <t>if(count-selected(${iron_folic_acid_used_in}) &gt; 0 and count-selected(substring-before(${iron_folic_acid_used_in}, "/")) &gt;= 0 and regex(substring-before(${iron_folic_acid_used_in}, "/"), '^[0-9]+$'),number(substring-before(${iron_folic_acid_used_in}, "/")),0)</t>
  </si>
  <si>
    <t>iron_folic_acid___unit</t>
  </si>
  <si>
    <t>if(count-selected(${iron_folic_acid_used_in}) &gt; 0 and count-selected(substring-after(${iron_folic_acid_used_in}, "/")) &gt;= 0 and regex(substring-after(${iron_folic_acid_used_in}, "/"), '^[0-9]+$'),number(substring-after(${iron_folic_acid_used_in}, "/")),0)</t>
  </si>
  <si>
    <t>iron_folic_acid_used_in_ADT_Form014_Summary</t>
  </si>
  <si>
    <t>${iron_folic_acid___set} * X + ${iron_folic_acid___unit}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</si>
</sst>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Roboto"/>
    </font>
    <font>
      <color theme="1"/>
      <name val="Roboto"/>
    </font>
    <font>
      <b/>
      <sz val="10.0"/>
      <color theme="1"/>
      <name val="Roboto"/>
    </font>
    <font>
      <color theme="1"/>
      <name val="Courier New"/>
    </font>
    <font>
      <sz val="10.0"/>
      <color theme="1"/>
      <name val="Roboto"/>
    </font>
    <font>
      <color rgb="FFFFFFFF"/>
      <name val="Roboto"/>
    </font>
    <font>
      <color rgb="FFFFFFFF"/>
      <name val="Courier New"/>
    </font>
    <font>
      <color theme="1"/>
      <name val="Arial"/>
    </font>
    <font>
      <sz val="10.0"/>
      <color theme="1"/>
      <name val="Courier New"/>
    </font>
    <font>
      <color rgb="FF161C1F"/>
      <name val="Roboto"/>
    </font>
    <font>
      <color rgb="FF000000"/>
      <name val="Roboto"/>
    </font>
    <font>
      <color rgb="FF000000"/>
      <name val="Courier New"/>
    </font>
    <font>
      <color rgb="FF000000"/>
      <name val="Arial"/>
    </font>
  </fonts>
  <fills count="8">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
      <patternFill patternType="solid">
        <fgColor rgb="FFF5F9FC"/>
        <bgColor rgb="FFF5F9FC"/>
      </patternFill>
    </fill>
  </fills>
  <borders count="1">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Font="1"/>
    <xf borderId="0" fillId="0" fontId="2" numFmtId="0" xfId="0" applyAlignment="1" applyFont="1">
      <alignment readingOrder="0"/>
    </xf>
    <xf borderId="0" fillId="2" fontId="3" numFmtId="0" xfId="0" applyAlignment="1" applyFill="1" applyFont="1">
      <alignment readingOrder="0" shrinkToFit="0" vertical="bottom" wrapText="1"/>
    </xf>
    <xf borderId="0" fillId="2" fontId="3" numFmtId="0" xfId="0" applyAlignment="1" applyFill="1" applyFont="1">
      <alignment readingOrder="0"/>
    </xf>
    <xf borderId="0" fillId="2" fontId="1" numFmtId="0" xfId="0" applyAlignment="1" applyFill="1" applyFont="1">
      <alignment vertical="bottom"/>
    </xf>
    <xf borderId="0" fillId="3" fontId="3" numFmtId="0" xfId="0" applyAlignment="1" applyFill="1" applyFont="1">
      <alignment readingOrder="0" shrinkToFit="0" vertical="bottom" wrapText="1"/>
    </xf>
    <xf borderId="0" fillId="3" fontId="1" numFmtId="0" xfId="0" applyAlignment="1" applyFill="1" applyFont="1">
      <alignment readingOrder="0" vertical="bottom"/>
    </xf>
    <xf borderId="0" fillId="0" fontId="1" numFmtId="0" xfId="0" applyAlignment="1" applyFont="1">
      <alignment vertical="bottom"/>
    </xf>
    <xf borderId="0" fillId="0" fontId="2"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Font="1"/>
    <xf borderId="0" fillId="0" fontId="2" numFmtId="0" xfId="0" applyAlignment="1" applyFont="1">
      <alignment shrinkToFit="0" vertical="bottom" wrapText="1"/>
    </xf>
    <xf borderId="0" fillId="0" fontId="5" numFmtId="0" xfId="0" applyAlignment="1" applyFont="1">
      <alignment shrinkToFit="0" vertical="bottom" wrapText="1"/>
    </xf>
    <xf borderId="0" fillId="0" fontId="4" numFmtId="0" xfId="0" applyAlignment="1" applyFont="1">
      <alignment shrinkToFit="0" vertical="center" wrapText="1"/>
    </xf>
    <xf borderId="0" fillId="4" fontId="6" numFmtId="0" xfId="0" applyAlignment="1" applyFill="1" applyFont="1">
      <alignment readingOrder="0"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8"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5" fontId="8" numFmtId="0" xfId="0" applyAlignment="1" applyFill="1" applyFont="1">
      <alignment vertical="bottom"/>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6" fontId="8" numFmtId="0" xfId="0" applyAlignment="1" applyFill="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6" fontId="8" numFmtId="0" xfId="0" applyAlignment="1" applyFill="1" applyFont="1">
      <alignment vertical="bottom"/>
    </xf>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5" numFmtId="0" xfId="0" applyAlignment="1" applyFont="1">
      <alignment shrinkToFit="0" vertical="center" wrapText="1"/>
    </xf>
    <xf borderId="0" fillId="0" fontId="9" numFmtId="0" xfId="0" applyAlignment="1" applyFont="1">
      <alignment shrinkToFit="0" vertical="center" wrapText="1"/>
    </xf>
    <xf borderId="0" fillId="0" fontId="5" numFmtId="0" xfId="0" applyFont="1"/>
    <xf borderId="0" fillId="0" fontId="5" numFmtId="0" xfId="0" applyAlignment="1" applyFont="1">
      <alignment readingOrder="0" shrinkToFit="0" vertical="center" wrapText="1"/>
    </xf>
    <xf borderId="0" fillId="7" fontId="10" numFmtId="0" xfId="0" applyAlignment="1" applyFill="1" applyFont="1">
      <alignment shrinkToFit="0" wrapText="1"/>
    </xf>
    <xf borderId="0" fillId="6" fontId="10" numFmtId="0" xfId="0" applyAlignment="1" applyFill="1" applyFont="1">
      <alignment shrinkToFit="0" wrapText="1"/>
    </xf>
    <xf borderId="0" fillId="0" fontId="9" numFmtId="0" xfId="0" applyAlignment="1" applyFont="1">
      <alignment readingOrder="0" shrinkToFit="0" vertical="center" wrapText="1"/>
    </xf>
    <xf borderId="0" fillId="6" fontId="4" numFmtId="0" xfId="0" applyAlignment="1" applyFill="1" applyFont="1">
      <alignment shrinkToFit="0" wrapText="1"/>
    </xf>
    <xf borderId="0" fillId="7" fontId="10" numFmtId="0" xfId="0" applyAlignment="1" applyFill="1" applyFont="1">
      <alignment shrinkToFit="0" wrapText="1"/>
    </xf>
    <xf borderId="0" fillId="7" fontId="8" numFmtId="0" xfId="0" applyFill="1" applyFont="1"/>
    <xf borderId="0" fillId="6" fontId="8" numFmtId="0" xfId="0" applyFill="1" applyFont="1"/>
    <xf borderId="0" fillId="7" fontId="10" numFmtId="0" xfId="0" applyAlignment="1" applyFill="1" applyFont="1">
      <alignment readingOrder="0" shrinkToFit="0" wrapText="1"/>
    </xf>
    <xf borderId="0" fillId="6" fontId="10" numFmtId="0" xfId="0" applyAlignment="1" applyFill="1" applyFont="1">
      <alignment readingOrder="0" shrinkToFit="0" wrapText="1"/>
    </xf>
    <xf borderId="0" fillId="0" fontId="5" numFmtId="0" xfId="0" applyAlignment="1" applyFont="1">
      <alignment readingOrder="0" shrinkToFit="0" vertical="center" wrapText="1"/>
    </xf>
    <xf borderId="0" fillId="6" fontId="2" numFmtId="0" xfId="0" applyAlignment="1" applyFill="1" applyFont="1">
      <alignment shrinkToFit="0" wrapText="1"/>
    </xf>
    <xf borderId="0" fillId="6" fontId="2" numFmtId="0" xfId="0" applyAlignment="1" applyFill="1" applyFont="1">
      <alignment shrinkToFit="0" wrapText="1"/>
    </xf>
    <xf borderId="0" fillId="0" fontId="9" numFmtId="0" xfId="0" applyAlignment="1" applyFont="1">
      <alignment readingOrder="0" shrinkToFit="0" vertical="center" wrapText="1"/>
    </xf>
    <xf borderId="0" fillId="0" fontId="2" numFmtId="0" xfId="0" applyAlignment="1" applyFont="1">
      <alignment shrinkToFit="0" wrapText="1"/>
    </xf>
    <xf borderId="0" fillId="0" fontId="5" numFmtId="0" xfId="0" applyAlignment="1" applyFont="1">
      <alignment shrinkToFit="0" vertical="center" wrapText="1"/>
    </xf>
    <xf borderId="0" fillId="0" fontId="5" numFmtId="0" xfId="0" applyFont="1"/>
    <xf borderId="0" fillId="5" fontId="2" numFmtId="0" xfId="0" applyAlignment="1" applyFill="1" applyFont="1">
      <alignment shrinkToFit="0" wrapText="1"/>
    </xf>
    <xf borderId="0" fillId="5" fontId="4" numFmtId="0" xfId="0" applyAlignment="1" applyFill="1" applyFont="1">
      <alignment shrinkToFit="0" wrapText="1"/>
    </xf>
    <xf borderId="0" fillId="5" fontId="8" numFmtId="0" xfId="0" applyFill="1" applyFont="1"/>
    <xf borderId="0" fillId="4" fontId="6" numFmtId="0" xfId="0" applyAlignment="1" applyFill="1" applyFont="1">
      <alignment shrinkToFit="0" wrapText="1"/>
    </xf>
    <xf borderId="0" fillId="4" fontId="7" numFmtId="0" xfId="0" applyAlignment="1" applyFill="1" applyFont="1">
      <alignment shrinkToFit="0" wrapText="1"/>
    </xf>
    <xf borderId="0" fillId="4" fontId="8" numFmtId="0" xfId="0" applyFill="1" applyFont="1"/>
    <xf borderId="0" fillId="4" fontId="6" numFmtId="0" xfId="0" applyAlignment="1" applyFill="1" applyFont="1">
      <alignment horizontal="center" vertical="bottom"/>
    </xf>
    <xf borderId="0" fillId="6" fontId="4" numFmtId="0" xfId="0" applyAlignment="1" applyFill="1" applyFont="1">
      <alignment shrinkToFit="0" wrapText="1"/>
    </xf>
    <xf borderId="0" fillId="6" fontId="2" numFmtId="0" xfId="0" applyAlignment="1" applyFill="1" applyFont="1">
      <alignment readingOrder="0" shrinkToFit="0" wrapText="1"/>
    </xf>
    <xf borderId="0" fillId="6" fontId="8" numFmtId="0" xfId="0" applyAlignment="1" applyFill="1" applyFont="1">
      <alignment readingOrder="0" vertical="bottom"/>
    </xf>
    <xf borderId="0" fillId="5" fontId="2" numFmtId="0" xfId="0" applyAlignment="1" applyFill="1" applyFont="1">
      <alignment readingOrder="0" shrinkToFit="0" wrapText="1"/>
    </xf>
    <xf borderId="0" fillId="4" fontId="11" numFmtId="0" xfId="0" applyAlignment="1" applyFill="1" applyFont="1">
      <alignment readingOrder="0" shrinkToFit="0" wrapText="1"/>
    </xf>
    <xf borderId="0" fillId="4" fontId="12" numFmtId="0" xfId="0" applyAlignment="1" applyFill="1" applyFont="1">
      <alignment readingOrder="0" shrinkToFit="0" wrapText="1"/>
    </xf>
    <xf borderId="0" fillId="4" fontId="13" numFmtId="0" xfId="0" applyFill="1" applyFont="1"/>
    <xf borderId="0" fillId="4" fontId="13" numFmtId="0" xfId="0" applyAlignment="1" applyFill="1" applyFont="1">
      <alignment readingOrder="0"/>
    </xf>
    <xf borderId="0" fillId="4" fontId="13" numFmtId="0" xfId="0" applyAlignment="1" applyFill="1" applyFont="1">
      <alignment vertical="bottom"/>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1126"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6.63"/>
    <col customWidth="1" min="2" max="2" width="16.0"/>
    <col customWidth="1" min="3" max="4" width="20.13"/>
    <col customWidth="1" min="5" max="5" width="20.0"/>
    <col customWidth="1" min="6" max="6" width="12.75"/>
    <col customWidth="1" min="7" max="7" width="12.88"/>
    <col customWidth="1" min="8" max="8" width="13.0"/>
    <col customWidth="1" min="9" max="9" width="7.25"/>
    <col customWidth="1" min="10" max="10" width="14.5"/>
    <col customWidth="1" min="11" max="11" width="12.0"/>
    <col customWidth="1" min="12" max="12" width="6.38"/>
    <col customWidth="1" min="13" max="13" width="13.0"/>
    <col customWidth="1" min="14" max="14" width="21.5"/>
    <col customWidth="1" min="15" max="15" width="21.38"/>
    <col customWidth="1" min="16" max="16" width="21.25"/>
    <col customWidth="1" min="17" max="17" width="16.0"/>
    <col customWidth="1" min="18" max="18" width="6.0"/>
    <col customWidth="1" min="19" max="19" width="10.38"/>
    <col customWidth="1" min="20" max="20" width="9.75"/>
    <col customWidth="1" min="21" max="21" width="11.0"/>
    <col customWidth="1" min="22" max="22" width="4.38"/>
    <col customWidth="1" min="23" max="24" width="5.63"/>
    <col customWidth="1" min="25" max="25" width="5.13"/>
  </cols>
  <sheetData>
    <row r="1" ht="27.0" customHeight="1">
      <c r="A1" s="5" t="s">
        <v>10</v>
      </c>
      <c r="B1" s="5" t="s">
        <v>12</v>
      </c>
      <c r="C1" s="8" t="s">
        <v>13</v>
      </c>
      <c r="D1" s="8" t="s">
        <v>14</v>
      </c>
      <c r="E1" s="8" t="s">
        <v>15</v>
      </c>
      <c r="F1" s="8" t="s">
        <v>16</v>
      </c>
      <c r="G1" s="8" t="s">
        <v>17</v>
      </c>
      <c r="H1" s="8" t="s">
        <v>18</v>
      </c>
      <c r="I1" s="5" t="s">
        <v>22</v>
      </c>
      <c r="J1" s="5" t="s">
        <v>23</v>
      </c>
      <c r="K1" s="5" t="s">
        <v>24</v>
      </c>
      <c r="L1" s="5" t="s">
        <v>25</v>
      </c>
      <c r="M1" s="5" t="s">
        <v>27</v>
      </c>
      <c r="N1" s="8" t="s">
        <v>28</v>
      </c>
      <c r="O1" s="8" t="s">
        <v>30</v>
      </c>
      <c r="P1" s="8" t="s">
        <v>32</v>
      </c>
      <c r="Q1" s="5" t="s">
        <v>33</v>
      </c>
      <c r="R1" s="5" t="s">
        <v>34</v>
      </c>
      <c r="S1" s="5" t="s">
        <v>35</v>
      </c>
      <c r="T1" s="5" t="s">
        <v>36</v>
      </c>
      <c r="U1" s="5" t="s">
        <v>37</v>
      </c>
      <c r="V1" s="5" t="s">
        <v>38</v>
      </c>
      <c r="W1" s="8" t="s">
        <v>39</v>
      </c>
      <c r="X1" s="8" t="s">
        <v>40</v>
      </c>
      <c r="Y1" s="8" t="s">
        <v>41</v>
      </c>
      <c r="Z1" s="15" t="s">
        <v>44</v>
      </c>
      <c r="AA1" s="15" t="s">
        <v>46</v>
      </c>
      <c r="AB1" s="16"/>
      <c r="AC1" s="16"/>
      <c r="AD1" s="16"/>
      <c r="AE1" s="16"/>
      <c r="AF1" s="16"/>
      <c r="AG1" s="16"/>
      <c r="AH1" s="16"/>
    </row>
    <row r="2">
      <c r="A2" s="18" t="s">
        <v>49</v>
      </c>
      <c r="B2" s="19" t="s">
        <v>53</v>
      </c>
      <c r="C2" s="20" t="s">
        <v>54</v>
      </c>
      <c r="D2" s="20"/>
      <c r="E2" s="20"/>
      <c r="F2" s="21"/>
      <c r="G2" s="21"/>
      <c r="H2" s="21"/>
      <c r="I2" s="21"/>
      <c r="J2" s="20" t="s">
        <v>55</v>
      </c>
      <c r="K2" s="20" t="s">
        <v>58</v>
      </c>
      <c r="L2" s="21"/>
      <c r="M2" s="21"/>
      <c r="N2" s="21"/>
      <c r="O2" s="21"/>
      <c r="P2" s="21"/>
      <c r="Q2" s="21"/>
      <c r="R2" s="21"/>
      <c r="S2" s="21"/>
      <c r="T2" s="21"/>
      <c r="U2" s="21"/>
      <c r="V2" s="21"/>
      <c r="W2" s="21"/>
      <c r="X2" s="21"/>
      <c r="Y2" s="21"/>
      <c r="Z2" s="21"/>
      <c r="AA2" s="21"/>
      <c r="AB2" s="21"/>
      <c r="AC2" s="21"/>
      <c r="AD2" s="21"/>
      <c r="AE2" s="21"/>
      <c r="AF2" s="21"/>
      <c r="AG2" s="21"/>
      <c r="AH2" s="21"/>
    </row>
    <row r="3">
      <c r="A3" s="22" t="s">
        <v>63</v>
      </c>
      <c r="B3" s="23" t="s">
        <v>64</v>
      </c>
      <c r="C3" s="22" t="s">
        <v>65</v>
      </c>
      <c r="D3" s="22"/>
      <c r="E3" s="22"/>
      <c r="F3" s="24"/>
      <c r="G3" s="24"/>
      <c r="H3" s="24"/>
      <c r="I3" s="24"/>
      <c r="J3" s="24"/>
      <c r="K3" s="24"/>
      <c r="L3" s="25" t="s">
        <v>66</v>
      </c>
      <c r="M3" s="24"/>
      <c r="N3" s="24"/>
      <c r="O3" s="24"/>
      <c r="P3" s="24"/>
      <c r="Q3" s="24"/>
      <c r="R3" s="24"/>
      <c r="S3" s="24"/>
      <c r="T3" s="24"/>
      <c r="U3" s="24"/>
      <c r="V3" s="24"/>
      <c r="W3" s="24"/>
      <c r="X3" s="24"/>
      <c r="Y3" s="24"/>
      <c r="Z3" s="24"/>
      <c r="AA3" s="24"/>
      <c r="AB3" s="24"/>
      <c r="AC3" s="24"/>
      <c r="AD3" s="24"/>
      <c r="AE3" s="24"/>
      <c r="AF3" s="24"/>
      <c r="AG3" s="24"/>
      <c r="AH3" s="24"/>
    </row>
    <row r="4">
      <c r="A4" s="26" t="s">
        <v>63</v>
      </c>
      <c r="B4" s="27" t="s">
        <v>72</v>
      </c>
      <c r="C4" s="26" t="s">
        <v>73</v>
      </c>
      <c r="D4" s="26"/>
      <c r="E4" s="26"/>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row>
    <row r="5">
      <c r="A5" s="18" t="s">
        <v>49</v>
      </c>
      <c r="B5" s="19" t="s">
        <v>66</v>
      </c>
      <c r="C5" s="29" t="s">
        <v>74</v>
      </c>
      <c r="D5" s="29"/>
      <c r="E5" s="29"/>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row>
    <row r="6">
      <c r="A6" s="26" t="s">
        <v>75</v>
      </c>
      <c r="B6" s="27" t="s">
        <v>76</v>
      </c>
      <c r="C6" s="26" t="s">
        <v>77</v>
      </c>
      <c r="D6" s="26"/>
      <c r="E6" s="26"/>
      <c r="F6" s="28"/>
      <c r="G6" s="28"/>
      <c r="H6" s="28"/>
      <c r="I6" s="28"/>
      <c r="J6" s="28"/>
      <c r="K6" s="26" t="s">
        <v>78</v>
      </c>
      <c r="L6" s="28"/>
      <c r="M6" s="28"/>
      <c r="N6" s="28"/>
      <c r="O6" s="28"/>
      <c r="P6" s="28"/>
      <c r="Q6" s="28"/>
      <c r="R6" s="28"/>
      <c r="S6" s="28"/>
      <c r="T6" s="28"/>
      <c r="U6" s="28"/>
      <c r="V6" s="28"/>
      <c r="W6" s="28"/>
      <c r="X6" s="28"/>
      <c r="Y6" s="28"/>
      <c r="Z6" s="28"/>
      <c r="AA6" s="28"/>
      <c r="AB6" s="28"/>
      <c r="AC6" s="28"/>
      <c r="AD6" s="28"/>
      <c r="AE6" s="28"/>
      <c r="AF6" s="28"/>
      <c r="AG6" s="28"/>
      <c r="AH6" s="28"/>
    </row>
    <row r="7">
      <c r="A7" s="18" t="s">
        <v>49</v>
      </c>
      <c r="B7" s="30" t="s">
        <v>79</v>
      </c>
      <c r="C7" s="20" t="s">
        <v>54</v>
      </c>
      <c r="D7" s="20"/>
      <c r="E7" s="20"/>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row>
    <row r="8">
      <c r="A8" s="26" t="s">
        <v>63</v>
      </c>
      <c r="B8" s="27" t="s">
        <v>80</v>
      </c>
      <c r="C8" s="26" t="s">
        <v>81</v>
      </c>
      <c r="D8" s="26"/>
      <c r="E8" s="26"/>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row>
    <row r="9">
      <c r="A9" s="18" t="s">
        <v>82</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row>
    <row r="10">
      <c r="A10" s="31" t="s">
        <v>63</v>
      </c>
      <c r="B10" s="28" t="s">
        <v>83</v>
      </c>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row>
    <row r="11">
      <c r="A11" s="18" t="s">
        <v>82</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row>
    <row r="12">
      <c r="A12" s="18" t="s">
        <v>49</v>
      </c>
      <c r="B12" s="30" t="s">
        <v>84</v>
      </c>
      <c r="C12" s="20" t="s">
        <v>54</v>
      </c>
      <c r="D12" s="20"/>
      <c r="E12" s="20"/>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c r="A13" s="26" t="s">
        <v>85</v>
      </c>
      <c r="B13" s="27" t="s">
        <v>80</v>
      </c>
      <c r="C13" s="26" t="s">
        <v>86</v>
      </c>
      <c r="D13" s="26"/>
      <c r="E13" s="26"/>
      <c r="F13" s="28"/>
      <c r="G13" s="28"/>
      <c r="H13" s="28"/>
      <c r="I13" s="28"/>
      <c r="J13" s="28"/>
      <c r="K13" s="26" t="s">
        <v>87</v>
      </c>
      <c r="L13" s="28"/>
      <c r="M13" s="28"/>
      <c r="N13" s="28"/>
      <c r="O13" s="28"/>
      <c r="P13" s="28"/>
      <c r="Q13" s="28"/>
      <c r="R13" s="28"/>
      <c r="S13" s="28"/>
      <c r="T13" s="28"/>
      <c r="U13" s="28"/>
      <c r="V13" s="28"/>
      <c r="W13" s="28"/>
      <c r="X13" s="28"/>
      <c r="Y13" s="28"/>
      <c r="Z13" s="28"/>
      <c r="AA13" s="28"/>
      <c r="AB13" s="28"/>
      <c r="AC13" s="28"/>
      <c r="AD13" s="28"/>
      <c r="AE13" s="28"/>
      <c r="AF13" s="28"/>
      <c r="AG13" s="28"/>
      <c r="AH13" s="28"/>
    </row>
    <row r="14">
      <c r="A14" s="25" t="s">
        <v>63</v>
      </c>
      <c r="B14" s="32" t="s">
        <v>12</v>
      </c>
      <c r="C14" s="25" t="s">
        <v>88</v>
      </c>
      <c r="D14" s="25"/>
      <c r="E14" s="25"/>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row>
    <row r="15">
      <c r="A15" s="26" t="s">
        <v>63</v>
      </c>
      <c r="B15" s="27" t="s">
        <v>89</v>
      </c>
      <c r="C15" s="26" t="s">
        <v>90</v>
      </c>
      <c r="D15" s="26"/>
      <c r="E15" s="26"/>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row>
    <row r="16">
      <c r="A16" s="25" t="s">
        <v>63</v>
      </c>
      <c r="B16" s="32" t="s">
        <v>91</v>
      </c>
      <c r="C16" s="25" t="s">
        <v>92</v>
      </c>
      <c r="D16" s="25"/>
      <c r="E16" s="25"/>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row>
    <row r="17">
      <c r="A17" s="26" t="s">
        <v>63</v>
      </c>
      <c r="B17" s="27" t="s">
        <v>93</v>
      </c>
      <c r="C17" s="26" t="s">
        <v>94</v>
      </c>
      <c r="D17" s="26"/>
      <c r="E17" s="26"/>
      <c r="F17" s="28"/>
      <c r="G17" s="28"/>
      <c r="H17" s="28"/>
      <c r="I17" s="28"/>
      <c r="J17" s="28"/>
      <c r="K17" s="28"/>
      <c r="L17" s="33">
        <v>0.0</v>
      </c>
      <c r="M17" s="28"/>
      <c r="N17" s="28"/>
      <c r="O17" s="28"/>
      <c r="P17" s="28"/>
      <c r="Q17" s="28"/>
      <c r="R17" s="28"/>
      <c r="S17" s="28"/>
      <c r="T17" s="28"/>
      <c r="U17" s="28"/>
      <c r="V17" s="28"/>
      <c r="W17" s="28"/>
      <c r="X17" s="28"/>
      <c r="Y17" s="28"/>
      <c r="Z17" s="28"/>
      <c r="AA17" s="28"/>
      <c r="AB17" s="28"/>
      <c r="AC17" s="28"/>
      <c r="AD17" s="28"/>
      <c r="AE17" s="28"/>
      <c r="AF17" s="28"/>
      <c r="AG17" s="28"/>
      <c r="AH17" s="28"/>
    </row>
    <row r="18">
      <c r="A18" s="25" t="s">
        <v>63</v>
      </c>
      <c r="B18" s="32" t="s">
        <v>95</v>
      </c>
      <c r="C18" s="25" t="s">
        <v>96</v>
      </c>
      <c r="D18" s="25"/>
      <c r="E18" s="25"/>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row>
    <row r="19">
      <c r="A19" s="18" t="s">
        <v>49</v>
      </c>
      <c r="B19" s="30" t="s">
        <v>79</v>
      </c>
      <c r="C19" s="20" t="s">
        <v>54</v>
      </c>
      <c r="D19" s="20"/>
      <c r="E19" s="2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row>
    <row r="20">
      <c r="A20" s="25" t="s">
        <v>63</v>
      </c>
      <c r="B20" s="32" t="s">
        <v>80</v>
      </c>
      <c r="C20" s="25" t="s">
        <v>97</v>
      </c>
      <c r="D20" s="25"/>
      <c r="E20" s="25"/>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row>
    <row r="21">
      <c r="A21" s="18" t="s">
        <v>49</v>
      </c>
      <c r="B21" s="30" t="s">
        <v>79</v>
      </c>
      <c r="C21" s="20" t="s">
        <v>54</v>
      </c>
      <c r="D21" s="20"/>
      <c r="E21" s="20"/>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c r="A22" s="18" t="s">
        <v>49</v>
      </c>
      <c r="B22" s="30" t="s">
        <v>84</v>
      </c>
      <c r="C22" s="20" t="s">
        <v>54</v>
      </c>
      <c r="D22" s="20"/>
      <c r="E22" s="20"/>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row>
    <row r="23">
      <c r="A23" s="26" t="s">
        <v>63</v>
      </c>
      <c r="B23" s="27" t="s">
        <v>98</v>
      </c>
      <c r="C23" s="26" t="s">
        <v>99</v>
      </c>
      <c r="D23" s="26"/>
      <c r="E23" s="26"/>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row>
    <row r="24">
      <c r="A24" s="25" t="s">
        <v>63</v>
      </c>
      <c r="B24" s="32" t="s">
        <v>100</v>
      </c>
      <c r="C24" s="25" t="s">
        <v>101</v>
      </c>
      <c r="D24" s="25"/>
      <c r="E24" s="25"/>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row>
    <row r="25">
      <c r="A25" s="18" t="s">
        <v>82</v>
      </c>
      <c r="B25" s="30" t="s">
        <v>84</v>
      </c>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row>
    <row r="26">
      <c r="A26" s="18" t="s">
        <v>82</v>
      </c>
      <c r="B26" s="30" t="s">
        <v>79</v>
      </c>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row>
    <row r="27">
      <c r="A27" s="18" t="s">
        <v>82</v>
      </c>
      <c r="B27" s="30" t="s">
        <v>79</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c r="A28" s="18" t="s">
        <v>82</v>
      </c>
      <c r="B28" s="30" t="s">
        <v>84</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row>
    <row r="29">
      <c r="A29" s="18" t="s">
        <v>82</v>
      </c>
      <c r="B29" s="30" t="s">
        <v>53</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row>
    <row r="31">
      <c r="A31" s="26" t="s">
        <v>102</v>
      </c>
      <c r="B31" s="27" t="s">
        <v>64</v>
      </c>
      <c r="C31" s="26" t="s">
        <v>54</v>
      </c>
      <c r="D31" s="26"/>
      <c r="E31" s="26"/>
      <c r="F31" s="28"/>
      <c r="G31" s="28"/>
      <c r="H31" s="28"/>
      <c r="I31" s="28"/>
      <c r="J31" s="28"/>
      <c r="K31" s="28"/>
      <c r="L31" s="28"/>
      <c r="M31" s="28"/>
      <c r="N31" s="28"/>
      <c r="O31" s="28"/>
      <c r="P31" s="28"/>
      <c r="Q31" s="26" t="s">
        <v>103</v>
      </c>
      <c r="R31" s="28"/>
      <c r="S31" s="28"/>
      <c r="T31" s="28"/>
      <c r="U31" s="28"/>
      <c r="V31" s="28"/>
      <c r="W31" s="28"/>
      <c r="X31" s="28"/>
      <c r="Y31" s="28"/>
      <c r="Z31" s="28"/>
      <c r="AA31" s="28"/>
      <c r="AB31" s="28"/>
      <c r="AC31" s="28"/>
      <c r="AD31" s="28"/>
      <c r="AE31" s="28"/>
      <c r="AF31" s="28"/>
      <c r="AG31" s="28"/>
      <c r="AH31" s="28"/>
    </row>
    <row r="32">
      <c r="A32" s="25" t="s">
        <v>102</v>
      </c>
      <c r="B32" s="32" t="s">
        <v>72</v>
      </c>
      <c r="C32" s="25" t="s">
        <v>54</v>
      </c>
      <c r="D32" s="25"/>
      <c r="E32" s="25"/>
      <c r="F32" s="24"/>
      <c r="G32" s="24"/>
      <c r="H32" s="24"/>
      <c r="I32" s="24"/>
      <c r="J32" s="24"/>
      <c r="K32" s="24"/>
      <c r="L32" s="24"/>
      <c r="M32" s="24"/>
      <c r="N32" s="24"/>
      <c r="O32" s="24"/>
      <c r="P32" s="24"/>
      <c r="Q32" s="25" t="s">
        <v>104</v>
      </c>
      <c r="R32" s="24"/>
      <c r="S32" s="24"/>
      <c r="T32" s="24"/>
      <c r="U32" s="24"/>
      <c r="V32" s="24"/>
      <c r="W32" s="24"/>
      <c r="X32" s="24"/>
      <c r="Y32" s="24"/>
      <c r="Z32" s="24"/>
      <c r="AA32" s="24"/>
      <c r="AB32" s="24"/>
      <c r="AC32" s="24"/>
      <c r="AD32" s="24"/>
      <c r="AE32" s="24"/>
      <c r="AF32" s="24"/>
      <c r="AG32" s="24"/>
      <c r="AH32" s="24"/>
    </row>
    <row r="33">
      <c r="A33" s="26" t="s">
        <v>102</v>
      </c>
      <c r="B33" s="27" t="s">
        <v>105</v>
      </c>
      <c r="C33" s="26" t="s">
        <v>54</v>
      </c>
      <c r="D33" s="26"/>
      <c r="E33" s="26"/>
      <c r="F33" s="28"/>
      <c r="G33" s="28"/>
      <c r="H33" s="28"/>
      <c r="I33" s="28"/>
      <c r="J33" s="28"/>
      <c r="K33" s="28"/>
      <c r="L33" s="28"/>
      <c r="M33" s="28"/>
      <c r="N33" s="28"/>
      <c r="O33" s="28"/>
      <c r="P33" s="28"/>
      <c r="Q33" s="26" t="s">
        <v>106</v>
      </c>
      <c r="R33" s="28"/>
      <c r="S33" s="28"/>
      <c r="T33" s="28"/>
      <c r="U33" s="28"/>
      <c r="V33" s="28"/>
      <c r="W33" s="28"/>
      <c r="X33" s="28"/>
      <c r="Y33" s="28"/>
      <c r="Z33" s="28"/>
      <c r="AA33" s="28"/>
      <c r="AB33" s="28"/>
      <c r="AC33" s="28"/>
      <c r="AD33" s="28"/>
      <c r="AE33" s="28"/>
      <c r="AF33" s="28"/>
      <c r="AG33" s="28"/>
      <c r="AH33" s="28"/>
    </row>
    <row r="34">
      <c r="A34" s="25" t="s">
        <v>102</v>
      </c>
      <c r="B34" s="32" t="s">
        <v>91</v>
      </c>
      <c r="C34" s="25" t="s">
        <v>54</v>
      </c>
      <c r="D34" s="25"/>
      <c r="E34" s="25"/>
      <c r="F34" s="24"/>
      <c r="G34" s="24"/>
      <c r="H34" s="24"/>
      <c r="I34" s="25" t="s">
        <v>68</v>
      </c>
      <c r="J34" s="24"/>
      <c r="K34" s="24"/>
      <c r="L34" s="24"/>
      <c r="M34" s="24"/>
      <c r="N34" s="24"/>
      <c r="O34" s="24"/>
      <c r="P34" s="24"/>
      <c r="Q34" s="25" t="s">
        <v>106</v>
      </c>
      <c r="R34" s="24"/>
      <c r="S34" s="24"/>
      <c r="T34" s="24"/>
      <c r="U34" s="24"/>
      <c r="V34" s="24"/>
      <c r="W34" s="24"/>
      <c r="X34" s="24"/>
      <c r="Y34" s="24"/>
      <c r="Z34" s="24"/>
      <c r="AA34" s="24"/>
      <c r="AB34" s="24"/>
      <c r="AC34" s="24"/>
      <c r="AD34" s="24"/>
      <c r="AE34" s="24"/>
      <c r="AF34" s="24"/>
      <c r="AG34" s="24"/>
      <c r="AH34" s="24"/>
    </row>
    <row r="35">
      <c r="A35" s="26" t="s">
        <v>102</v>
      </c>
      <c r="B35" s="27" t="s">
        <v>107</v>
      </c>
      <c r="C35" s="26" t="s">
        <v>54</v>
      </c>
      <c r="D35" s="26"/>
      <c r="E35" s="26"/>
      <c r="F35" s="28"/>
      <c r="G35" s="28"/>
      <c r="H35" s="28"/>
      <c r="I35" s="28"/>
      <c r="J35" s="28"/>
      <c r="K35" s="28"/>
      <c r="L35" s="28"/>
      <c r="M35" s="28"/>
      <c r="N35" s="28"/>
      <c r="O35" s="28"/>
      <c r="P35" s="28"/>
      <c r="Q35" s="26" t="s">
        <v>108</v>
      </c>
      <c r="R35" s="28"/>
      <c r="S35" s="28"/>
      <c r="T35" s="28"/>
      <c r="U35" s="28"/>
      <c r="V35" s="28"/>
      <c r="W35" s="28"/>
      <c r="X35" s="28"/>
      <c r="Y35" s="28"/>
      <c r="Z35" s="28"/>
      <c r="AA35" s="28"/>
      <c r="AB35" s="28"/>
      <c r="AC35" s="28"/>
      <c r="AD35" s="28"/>
      <c r="AE35" s="28"/>
      <c r="AF35" s="28"/>
      <c r="AG35" s="28"/>
      <c r="AH35" s="28"/>
    </row>
    <row r="36">
      <c r="A36" s="25" t="s">
        <v>102</v>
      </c>
      <c r="B36" s="32" t="s">
        <v>109</v>
      </c>
      <c r="C36" s="25" t="s">
        <v>54</v>
      </c>
      <c r="D36" s="25"/>
      <c r="E36" s="25"/>
      <c r="F36" s="24"/>
      <c r="G36" s="24"/>
      <c r="H36" s="24"/>
      <c r="I36" s="24"/>
      <c r="J36" s="24"/>
      <c r="K36" s="24"/>
      <c r="L36" s="24"/>
      <c r="M36" s="24"/>
      <c r="N36" s="24"/>
      <c r="O36" s="24"/>
      <c r="P36" s="24"/>
      <c r="Q36" s="25" t="s">
        <v>110</v>
      </c>
      <c r="R36" s="24"/>
      <c r="S36" s="24"/>
      <c r="T36" s="24"/>
      <c r="U36" s="24"/>
      <c r="V36" s="24"/>
      <c r="W36" s="24"/>
      <c r="X36" s="24"/>
      <c r="Y36" s="24"/>
      <c r="Z36" s="24"/>
      <c r="AA36" s="24"/>
      <c r="AB36" s="24"/>
      <c r="AC36" s="24"/>
      <c r="AD36" s="24"/>
      <c r="AE36" s="24"/>
      <c r="AF36" s="24"/>
      <c r="AG36" s="24"/>
      <c r="AH36" s="24"/>
    </row>
    <row r="37">
      <c r="A37" s="26" t="s">
        <v>102</v>
      </c>
      <c r="B37" s="27" t="s">
        <v>111</v>
      </c>
      <c r="C37" s="26" t="s">
        <v>54</v>
      </c>
      <c r="D37" s="26"/>
      <c r="E37" s="26"/>
      <c r="F37" s="28"/>
      <c r="G37" s="28"/>
      <c r="H37" s="28"/>
      <c r="I37" s="28"/>
      <c r="J37" s="28"/>
      <c r="K37" s="28"/>
      <c r="L37" s="28"/>
      <c r="M37" s="28"/>
      <c r="N37" s="28"/>
      <c r="O37" s="28"/>
      <c r="P37" s="28"/>
      <c r="Q37" s="26" t="s">
        <v>112</v>
      </c>
      <c r="R37" s="28"/>
      <c r="S37" s="28"/>
      <c r="T37" s="28"/>
      <c r="U37" s="28"/>
      <c r="V37" s="28"/>
      <c r="W37" s="28"/>
      <c r="X37" s="28"/>
      <c r="Y37" s="28"/>
      <c r="Z37" s="28"/>
      <c r="AA37" s="28"/>
      <c r="AB37" s="28"/>
      <c r="AC37" s="28"/>
      <c r="AD37" s="28"/>
      <c r="AE37" s="28"/>
      <c r="AF37" s="28"/>
      <c r="AG37" s="28"/>
      <c r="AH37" s="28"/>
    </row>
    <row r="38">
      <c r="A38" s="25" t="s">
        <v>102</v>
      </c>
      <c r="B38" s="32" t="s">
        <v>113</v>
      </c>
      <c r="C38" s="25" t="s">
        <v>54</v>
      </c>
      <c r="D38" s="25"/>
      <c r="E38" s="25"/>
      <c r="F38" s="24"/>
      <c r="G38" s="24"/>
      <c r="H38" s="24"/>
      <c r="I38" s="24"/>
      <c r="J38" s="24"/>
      <c r="K38" s="24"/>
      <c r="L38" s="24"/>
      <c r="M38" s="24"/>
      <c r="N38" s="24"/>
      <c r="O38" s="24"/>
      <c r="P38" s="24"/>
      <c r="Q38" s="25" t="s">
        <v>114</v>
      </c>
      <c r="R38" s="24"/>
      <c r="S38" s="24"/>
      <c r="T38" s="24"/>
      <c r="U38" s="24"/>
      <c r="V38" s="24"/>
      <c r="W38" s="24"/>
      <c r="X38" s="24"/>
      <c r="Y38" s="24"/>
      <c r="Z38" s="24"/>
      <c r="AA38" s="24"/>
      <c r="AB38" s="24"/>
      <c r="AC38" s="24"/>
      <c r="AD38" s="24"/>
      <c r="AE38" s="24"/>
      <c r="AF38" s="24"/>
      <c r="AG38" s="24"/>
      <c r="AH38" s="24"/>
    </row>
    <row r="39">
      <c r="A39" s="26" t="s">
        <v>102</v>
      </c>
      <c r="B39" s="27" t="s">
        <v>115</v>
      </c>
      <c r="C39" s="26" t="s">
        <v>54</v>
      </c>
      <c r="D39" s="26"/>
      <c r="E39" s="26"/>
      <c r="F39" s="28"/>
      <c r="G39" s="28"/>
      <c r="H39" s="28"/>
      <c r="I39" s="28"/>
      <c r="J39" s="28"/>
      <c r="K39" s="28"/>
      <c r="L39" s="28"/>
      <c r="M39" s="28"/>
      <c r="N39" s="28"/>
      <c r="O39" s="28"/>
      <c r="P39" s="28"/>
      <c r="Q39" s="26" t="s">
        <v>116</v>
      </c>
      <c r="R39" s="28"/>
      <c r="S39" s="28"/>
      <c r="T39" s="28"/>
      <c r="U39" s="28"/>
      <c r="V39" s="28"/>
      <c r="W39" s="28"/>
      <c r="X39" s="28"/>
      <c r="Y39" s="28"/>
      <c r="Z39" s="28"/>
      <c r="AA39" s="28"/>
      <c r="AB39" s="28"/>
      <c r="AC39" s="28"/>
      <c r="AD39" s="28"/>
      <c r="AE39" s="28"/>
      <c r="AF39" s="28"/>
      <c r="AG39" s="28"/>
      <c r="AH39" s="28"/>
    </row>
    <row r="40">
      <c r="A40" s="25" t="s">
        <v>102</v>
      </c>
      <c r="B40" s="32" t="s">
        <v>117</v>
      </c>
      <c r="C40" s="25" t="s">
        <v>54</v>
      </c>
      <c r="D40" s="25"/>
      <c r="E40" s="25"/>
      <c r="F40" s="24"/>
      <c r="G40" s="24"/>
      <c r="H40" s="24"/>
      <c r="I40" s="24"/>
      <c r="J40" s="24"/>
      <c r="K40" s="24"/>
      <c r="L40" s="24"/>
      <c r="M40" s="24"/>
      <c r="N40" s="24"/>
      <c r="O40" s="24"/>
      <c r="P40" s="24"/>
      <c r="Q40" s="25" t="s">
        <v>118</v>
      </c>
      <c r="R40" s="24"/>
      <c r="S40" s="24"/>
      <c r="T40" s="24"/>
      <c r="U40" s="24"/>
      <c r="V40" s="24"/>
      <c r="W40" s="24"/>
      <c r="X40" s="24"/>
      <c r="Y40" s="24"/>
      <c r="Z40" s="24"/>
      <c r="AA40" s="24"/>
      <c r="AB40" s="24"/>
      <c r="AC40" s="24"/>
      <c r="AD40" s="24"/>
      <c r="AE40" s="24"/>
      <c r="AF40" s="24"/>
      <c r="AG40" s="24"/>
      <c r="AH40" s="24"/>
    </row>
    <row r="41">
      <c r="A41" s="26" t="s">
        <v>102</v>
      </c>
      <c r="B41" s="27" t="s">
        <v>119</v>
      </c>
      <c r="C41" s="26" t="s">
        <v>54</v>
      </c>
      <c r="D41" s="26"/>
      <c r="E41" s="26"/>
      <c r="F41" s="28"/>
      <c r="G41" s="28"/>
      <c r="H41" s="28"/>
      <c r="I41" s="28"/>
      <c r="J41" s="28"/>
      <c r="K41" s="28"/>
      <c r="L41" s="28"/>
      <c r="M41" s="28"/>
      <c r="N41" s="28"/>
      <c r="O41" s="28"/>
      <c r="P41" s="28"/>
      <c r="Q41" s="26" t="s">
        <v>120</v>
      </c>
      <c r="R41" s="28"/>
      <c r="S41" s="28"/>
      <c r="T41" s="28"/>
      <c r="U41" s="28"/>
      <c r="V41" s="28"/>
      <c r="W41" s="28"/>
      <c r="X41" s="28"/>
      <c r="Y41" s="28"/>
      <c r="Z41" s="28"/>
      <c r="AA41" s="28"/>
      <c r="AB41" s="28"/>
      <c r="AC41" s="28"/>
      <c r="AD41" s="28"/>
      <c r="AE41" s="28"/>
      <c r="AF41" s="28"/>
      <c r="AG41" s="28"/>
      <c r="AH41" s="28"/>
    </row>
    <row r="42">
      <c r="A42" s="25" t="s">
        <v>102</v>
      </c>
      <c r="B42" s="32" t="s">
        <v>121</v>
      </c>
      <c r="C42" s="25" t="s">
        <v>54</v>
      </c>
      <c r="D42" s="25"/>
      <c r="E42" s="25"/>
      <c r="F42" s="24"/>
      <c r="G42" s="24"/>
      <c r="H42" s="24"/>
      <c r="I42" s="24"/>
      <c r="J42" s="24"/>
      <c r="K42" s="24"/>
      <c r="L42" s="24"/>
      <c r="M42" s="24"/>
      <c r="N42" s="24"/>
      <c r="O42" s="24"/>
      <c r="P42" s="24"/>
      <c r="Q42" s="25" t="s">
        <v>122</v>
      </c>
      <c r="R42" s="24"/>
      <c r="S42" s="24"/>
      <c r="T42" s="24"/>
      <c r="U42" s="24"/>
      <c r="V42" s="24"/>
      <c r="W42" s="24"/>
      <c r="X42" s="24"/>
      <c r="Y42" s="24"/>
      <c r="Z42" s="24"/>
      <c r="AA42" s="24"/>
      <c r="AB42" s="24"/>
      <c r="AC42" s="24"/>
      <c r="AD42" s="24"/>
      <c r="AE42" s="24"/>
      <c r="AF42" s="24"/>
      <c r="AG42" s="24"/>
      <c r="AH42" s="24"/>
    </row>
    <row r="43">
      <c r="A43" s="34"/>
      <c r="B43" s="35"/>
      <c r="C43" s="34"/>
      <c r="D43" s="34"/>
      <c r="E43" s="34"/>
      <c r="F43" s="34"/>
      <c r="G43" s="34"/>
      <c r="H43" s="34"/>
      <c r="I43" s="34"/>
      <c r="J43" s="34"/>
      <c r="K43" s="34"/>
      <c r="L43" s="34"/>
      <c r="M43" s="34"/>
      <c r="N43" s="34"/>
      <c r="O43" s="34"/>
      <c r="P43" s="34"/>
      <c r="Q43" s="34"/>
      <c r="R43" s="34"/>
      <c r="S43" s="34"/>
      <c r="T43" s="34"/>
      <c r="U43" s="34"/>
      <c r="V43" s="34"/>
      <c r="W43" s="34"/>
      <c r="X43" s="34"/>
      <c r="Y43" s="34"/>
      <c r="Z43" s="36"/>
      <c r="AA43" s="36"/>
      <c r="AB43" s="36"/>
      <c r="AC43" s="36"/>
      <c r="AD43" s="36"/>
      <c r="AE43" s="36"/>
      <c r="AF43" s="36"/>
      <c r="AG43" s="36"/>
      <c r="AH43" s="36"/>
    </row>
    <row r="44">
      <c r="A44" s="37" t="s">
        <v>63</v>
      </c>
      <c r="B44" s="38" t="s">
        <v>123</v>
      </c>
      <c r="C44" s="37" t="s">
        <v>124</v>
      </c>
      <c r="D44" s="37"/>
      <c r="E44" s="37"/>
      <c r="F44" s="34"/>
      <c r="G44" s="34"/>
      <c r="H44" s="34"/>
      <c r="I44" s="34"/>
      <c r="J44" s="34"/>
      <c r="K44" s="34"/>
      <c r="L44" s="34"/>
      <c r="M44" s="34"/>
      <c r="N44" s="34"/>
      <c r="O44" s="34"/>
      <c r="P44" s="34"/>
      <c r="Q44" s="34"/>
      <c r="R44" s="34"/>
      <c r="S44" s="34"/>
      <c r="T44" s="34"/>
      <c r="U44" s="34"/>
      <c r="V44" s="34"/>
      <c r="W44" s="34"/>
      <c r="X44" s="34"/>
      <c r="Y44" s="34"/>
      <c r="Z44" s="36"/>
      <c r="AA44" s="36"/>
      <c r="AB44" s="36"/>
      <c r="AC44" s="36"/>
      <c r="AD44" s="36"/>
      <c r="AE44" s="36"/>
      <c r="AF44" s="36"/>
      <c r="AG44" s="36"/>
      <c r="AH44" s="36"/>
    </row>
    <row r="45">
      <c r="A45" s="37" t="s">
        <v>63</v>
      </c>
      <c r="B45" s="39" t="s">
        <v>125</v>
      </c>
      <c r="C45" s="37" t="s">
        <v>124</v>
      </c>
      <c r="D45" s="34"/>
      <c r="E45" s="34"/>
      <c r="F45" s="34"/>
      <c r="G45" s="34"/>
      <c r="H45" s="34"/>
      <c r="I45" s="34"/>
      <c r="J45" s="34"/>
      <c r="K45" s="34"/>
      <c r="L45" s="34"/>
      <c r="M45" s="34"/>
      <c r="N45" s="34"/>
      <c r="O45" s="34"/>
      <c r="P45" s="34"/>
      <c r="Q45" s="34"/>
      <c r="R45" s="34"/>
      <c r="S45" s="34"/>
      <c r="T45" s="34"/>
      <c r="U45" s="34"/>
      <c r="V45" s="34"/>
      <c r="W45" s="34"/>
      <c r="X45" s="34"/>
      <c r="Y45" s="34"/>
      <c r="Z45" s="36"/>
      <c r="AA45" s="36"/>
      <c r="AB45" s="36"/>
      <c r="AC45" s="36"/>
      <c r="AD45" s="36"/>
      <c r="AE45" s="36"/>
      <c r="AF45" s="36"/>
      <c r="AG45" s="36"/>
      <c r="AH45" s="36"/>
    </row>
    <row r="46">
      <c r="A46" s="37" t="s">
        <v>63</v>
      </c>
      <c r="B46" s="38" t="s">
        <v>126</v>
      </c>
      <c r="C46" s="37" t="s">
        <v>124</v>
      </c>
      <c r="D46" s="34"/>
      <c r="E46" s="34"/>
      <c r="F46" s="34"/>
      <c r="G46" s="34"/>
      <c r="H46" s="34"/>
      <c r="I46" s="34"/>
      <c r="J46" s="34"/>
      <c r="K46" s="34"/>
      <c r="L46" s="34"/>
      <c r="M46" s="34"/>
      <c r="N46" s="34"/>
      <c r="O46" s="34"/>
      <c r="P46" s="34"/>
      <c r="Q46" s="34"/>
      <c r="R46" s="34"/>
      <c r="S46" s="34"/>
      <c r="T46" s="34"/>
      <c r="U46" s="34"/>
      <c r="V46" s="34"/>
      <c r="W46" s="34"/>
      <c r="X46" s="34"/>
      <c r="Y46" s="34"/>
      <c r="Z46" s="36"/>
      <c r="AA46" s="36"/>
      <c r="AB46" s="36"/>
      <c r="AC46" s="36"/>
      <c r="AD46" s="36"/>
      <c r="AE46" s="36"/>
      <c r="AF46" s="36"/>
      <c r="AG46" s="36"/>
      <c r="AH46" s="36"/>
    </row>
    <row r="47">
      <c r="A47" s="37" t="s">
        <v>63</v>
      </c>
      <c r="B47" s="40" t="s">
        <v>127</v>
      </c>
      <c r="C47" s="37" t="s">
        <v>124</v>
      </c>
      <c r="D47" s="34"/>
      <c r="E47" s="34"/>
      <c r="F47" s="34"/>
      <c r="G47" s="34"/>
      <c r="H47" s="34"/>
      <c r="I47" s="34"/>
      <c r="J47" s="34"/>
      <c r="K47" s="34"/>
      <c r="L47" s="34"/>
      <c r="M47" s="34"/>
      <c r="N47" s="34"/>
      <c r="O47" s="34"/>
      <c r="P47" s="34"/>
      <c r="Q47" s="34"/>
      <c r="R47" s="34"/>
      <c r="S47" s="34"/>
      <c r="T47" s="34"/>
      <c r="U47" s="34"/>
      <c r="V47" s="34"/>
      <c r="W47" s="34"/>
      <c r="X47" s="34"/>
      <c r="Y47" s="34"/>
      <c r="Z47" s="36"/>
      <c r="AA47" s="36"/>
      <c r="AB47" s="36"/>
      <c r="AC47" s="36"/>
      <c r="AD47" s="36"/>
      <c r="AE47" s="36"/>
      <c r="AF47" s="36"/>
      <c r="AG47" s="36"/>
      <c r="AH47" s="36"/>
    </row>
    <row r="48">
      <c r="A48" s="37" t="s">
        <v>63</v>
      </c>
      <c r="B48" s="39" t="s">
        <v>128</v>
      </c>
      <c r="C48" s="37" t="s">
        <v>124</v>
      </c>
      <c r="D48" s="34"/>
      <c r="E48" s="34"/>
      <c r="F48" s="34"/>
      <c r="G48" s="34"/>
      <c r="H48" s="34"/>
      <c r="I48" s="34"/>
      <c r="J48" s="34"/>
      <c r="K48" s="34"/>
      <c r="L48" s="34"/>
      <c r="M48" s="34"/>
      <c r="N48" s="34"/>
      <c r="O48" s="34"/>
      <c r="P48" s="34"/>
      <c r="Q48" s="34"/>
      <c r="R48" s="34"/>
      <c r="S48" s="34"/>
      <c r="T48" s="34"/>
      <c r="U48" s="34"/>
      <c r="V48" s="34"/>
      <c r="W48" s="34"/>
      <c r="X48" s="34"/>
      <c r="Y48" s="34"/>
      <c r="Z48" s="36"/>
      <c r="AA48" s="36"/>
      <c r="AB48" s="36"/>
      <c r="AC48" s="36"/>
      <c r="AD48" s="36"/>
      <c r="AE48" s="36"/>
      <c r="AF48" s="36"/>
      <c r="AG48" s="36"/>
      <c r="AH48" s="36"/>
    </row>
    <row r="49">
      <c r="A49" s="37" t="s">
        <v>63</v>
      </c>
      <c r="B49" s="38" t="s">
        <v>129</v>
      </c>
      <c r="C49" s="37" t="s">
        <v>124</v>
      </c>
      <c r="D49" s="34"/>
      <c r="E49" s="34"/>
      <c r="F49" s="34"/>
      <c r="G49" s="34"/>
      <c r="H49" s="34"/>
      <c r="I49" s="34"/>
      <c r="J49" s="34"/>
      <c r="K49" s="34"/>
      <c r="L49" s="34"/>
      <c r="M49" s="34"/>
      <c r="N49" s="34"/>
      <c r="O49" s="34"/>
      <c r="P49" s="34"/>
      <c r="Q49" s="34"/>
      <c r="R49" s="34"/>
      <c r="S49" s="34"/>
      <c r="T49" s="34"/>
      <c r="U49" s="34"/>
      <c r="V49" s="34"/>
      <c r="W49" s="34"/>
      <c r="X49" s="34"/>
      <c r="Y49" s="34"/>
      <c r="Z49" s="36"/>
      <c r="AA49" s="36"/>
      <c r="AB49" s="36"/>
      <c r="AC49" s="36"/>
      <c r="AD49" s="36"/>
      <c r="AE49" s="36"/>
      <c r="AF49" s="36"/>
      <c r="AG49" s="36"/>
      <c r="AH49" s="36"/>
    </row>
    <row r="50">
      <c r="A50" s="37" t="s">
        <v>63</v>
      </c>
      <c r="B50" s="40" t="s">
        <v>130</v>
      </c>
      <c r="C50" s="37" t="s">
        <v>124</v>
      </c>
      <c r="D50" s="34"/>
      <c r="E50" s="34"/>
      <c r="F50" s="34"/>
      <c r="G50" s="34"/>
      <c r="H50" s="34"/>
      <c r="I50" s="34"/>
      <c r="J50" s="34"/>
      <c r="K50" s="34"/>
      <c r="L50" s="34"/>
      <c r="M50" s="34"/>
      <c r="N50" s="34"/>
      <c r="O50" s="34"/>
      <c r="P50" s="34"/>
      <c r="Q50" s="34"/>
      <c r="R50" s="34"/>
      <c r="S50" s="34"/>
      <c r="T50" s="34"/>
      <c r="U50" s="34"/>
      <c r="V50" s="34"/>
      <c r="W50" s="34"/>
      <c r="X50" s="34"/>
      <c r="Y50" s="34"/>
      <c r="Z50" s="36"/>
      <c r="AA50" s="36"/>
      <c r="AB50" s="36"/>
      <c r="AC50" s="36"/>
      <c r="AD50" s="36"/>
      <c r="AE50" s="36"/>
      <c r="AF50" s="36"/>
      <c r="AG50" s="36"/>
      <c r="AH50" s="36"/>
    </row>
    <row r="51">
      <c r="A51" s="37" t="s">
        <v>63</v>
      </c>
      <c r="B51" s="39" t="s">
        <v>131</v>
      </c>
      <c r="C51" s="37" t="s">
        <v>124</v>
      </c>
      <c r="D51" s="34"/>
      <c r="E51" s="34"/>
      <c r="F51" s="34"/>
      <c r="G51" s="34"/>
      <c r="H51" s="34"/>
      <c r="I51" s="34"/>
      <c r="J51" s="34"/>
      <c r="K51" s="34"/>
      <c r="L51" s="34"/>
      <c r="M51" s="34"/>
      <c r="N51" s="34"/>
      <c r="O51" s="34"/>
      <c r="P51" s="34"/>
      <c r="Q51" s="34"/>
      <c r="R51" s="34"/>
      <c r="S51" s="34"/>
      <c r="T51" s="34"/>
      <c r="U51" s="34"/>
      <c r="V51" s="34"/>
      <c r="W51" s="34"/>
      <c r="X51" s="34"/>
      <c r="Y51" s="34"/>
      <c r="Z51" s="36"/>
      <c r="AA51" s="36"/>
      <c r="AB51" s="36"/>
      <c r="AC51" s="36"/>
      <c r="AD51" s="36"/>
      <c r="AE51" s="36"/>
      <c r="AF51" s="36"/>
      <c r="AG51" s="36"/>
      <c r="AH51" s="36"/>
    </row>
    <row r="52">
      <c r="A52" s="37" t="s">
        <v>63</v>
      </c>
      <c r="B52" s="38" t="s">
        <v>132</v>
      </c>
      <c r="C52" s="37" t="s">
        <v>124</v>
      </c>
      <c r="D52" s="34"/>
      <c r="E52" s="34"/>
      <c r="F52" s="34"/>
      <c r="G52" s="34"/>
      <c r="H52" s="34"/>
      <c r="I52" s="34"/>
      <c r="J52" s="34"/>
      <c r="K52" s="34"/>
      <c r="L52" s="34"/>
      <c r="M52" s="34"/>
      <c r="N52" s="34"/>
      <c r="O52" s="34"/>
      <c r="P52" s="34"/>
      <c r="Q52" s="34"/>
      <c r="R52" s="34"/>
      <c r="S52" s="34"/>
      <c r="T52" s="34"/>
      <c r="U52" s="34"/>
      <c r="V52" s="34"/>
      <c r="W52" s="34"/>
      <c r="X52" s="34"/>
      <c r="Y52" s="34"/>
      <c r="Z52" s="36"/>
      <c r="AA52" s="36"/>
      <c r="AB52" s="36"/>
      <c r="AC52" s="36"/>
      <c r="AD52" s="36"/>
      <c r="AE52" s="36"/>
      <c r="AF52" s="36"/>
      <c r="AG52" s="36"/>
      <c r="AH52" s="36"/>
    </row>
    <row r="53">
      <c r="A53" s="37" t="s">
        <v>63</v>
      </c>
      <c r="B53" s="39" t="s">
        <v>133</v>
      </c>
      <c r="C53" s="37" t="s">
        <v>124</v>
      </c>
      <c r="D53" s="34"/>
      <c r="E53" s="34"/>
      <c r="F53" s="34"/>
      <c r="G53" s="34"/>
      <c r="H53" s="34"/>
      <c r="I53" s="34"/>
      <c r="J53" s="34"/>
      <c r="K53" s="34"/>
      <c r="L53" s="34"/>
      <c r="M53" s="34"/>
      <c r="N53" s="34"/>
      <c r="O53" s="34"/>
      <c r="P53" s="34"/>
      <c r="Q53" s="34"/>
      <c r="R53" s="34"/>
      <c r="S53" s="34"/>
      <c r="T53" s="34"/>
      <c r="U53" s="34"/>
      <c r="V53" s="34"/>
      <c r="W53" s="34"/>
      <c r="X53" s="34"/>
      <c r="Y53" s="34"/>
      <c r="Z53" s="36"/>
      <c r="AA53" s="36"/>
      <c r="AB53" s="36"/>
      <c r="AC53" s="36"/>
      <c r="AD53" s="36"/>
      <c r="AE53" s="36"/>
      <c r="AF53" s="36"/>
      <c r="AG53" s="36"/>
      <c r="AH53" s="36"/>
    </row>
    <row r="54">
      <c r="A54" s="37" t="s">
        <v>63</v>
      </c>
      <c r="B54" s="38" t="s">
        <v>134</v>
      </c>
      <c r="C54" s="37" t="s">
        <v>124</v>
      </c>
      <c r="D54" s="34"/>
      <c r="E54" s="34"/>
      <c r="F54" s="34"/>
      <c r="G54" s="34"/>
      <c r="H54" s="34"/>
      <c r="I54" s="34"/>
      <c r="J54" s="34"/>
      <c r="K54" s="34"/>
      <c r="L54" s="34"/>
      <c r="M54" s="34"/>
      <c r="N54" s="34"/>
      <c r="O54" s="34"/>
      <c r="P54" s="34"/>
      <c r="Q54" s="34"/>
      <c r="R54" s="34"/>
      <c r="S54" s="34"/>
      <c r="T54" s="34"/>
      <c r="U54" s="34"/>
      <c r="V54" s="34"/>
      <c r="W54" s="34"/>
      <c r="X54" s="34"/>
      <c r="Y54" s="34"/>
      <c r="Z54" s="36"/>
      <c r="AA54" s="36"/>
      <c r="AB54" s="36"/>
      <c r="AC54" s="36"/>
      <c r="AD54" s="36"/>
      <c r="AE54" s="36"/>
      <c r="AF54" s="36"/>
      <c r="AG54" s="36"/>
      <c r="AH54" s="36"/>
    </row>
    <row r="55">
      <c r="A55" s="37" t="s">
        <v>63</v>
      </c>
      <c r="B55" s="39" t="s">
        <v>135</v>
      </c>
      <c r="C55" s="37" t="s">
        <v>124</v>
      </c>
      <c r="D55" s="34"/>
      <c r="E55" s="34"/>
      <c r="F55" s="34"/>
      <c r="G55" s="34"/>
      <c r="H55" s="34"/>
      <c r="I55" s="34"/>
      <c r="J55" s="34"/>
      <c r="K55" s="34"/>
      <c r="L55" s="34"/>
      <c r="M55" s="34"/>
      <c r="N55" s="34"/>
      <c r="O55" s="34"/>
      <c r="P55" s="34"/>
      <c r="Q55" s="34"/>
      <c r="R55" s="34"/>
      <c r="S55" s="34"/>
      <c r="T55" s="34"/>
      <c r="U55" s="34"/>
      <c r="V55" s="34"/>
      <c r="W55" s="34"/>
      <c r="X55" s="34"/>
      <c r="Y55" s="34"/>
      <c r="Z55" s="36"/>
      <c r="AA55" s="36"/>
      <c r="AB55" s="36"/>
      <c r="AC55" s="36"/>
      <c r="AD55" s="36"/>
      <c r="AE55" s="36"/>
      <c r="AF55" s="36"/>
      <c r="AG55" s="36"/>
      <c r="AH55" s="36"/>
    </row>
    <row r="56">
      <c r="A56" s="37" t="s">
        <v>63</v>
      </c>
      <c r="B56" s="41" t="s">
        <v>136</v>
      </c>
      <c r="C56" s="37" t="s">
        <v>124</v>
      </c>
      <c r="D56" s="34"/>
      <c r="E56" s="34"/>
      <c r="F56" s="34"/>
      <c r="G56" s="34"/>
      <c r="H56" s="34"/>
      <c r="I56" s="34"/>
      <c r="J56" s="34"/>
      <c r="K56" s="34"/>
      <c r="L56" s="34"/>
      <c r="M56" s="34"/>
      <c r="N56" s="34"/>
      <c r="O56" s="34"/>
      <c r="P56" s="34"/>
      <c r="Q56" s="34"/>
      <c r="R56" s="34"/>
      <c r="S56" s="34"/>
      <c r="T56" s="34"/>
      <c r="U56" s="34"/>
      <c r="V56" s="34"/>
      <c r="W56" s="34"/>
      <c r="X56" s="34"/>
      <c r="Y56" s="34"/>
      <c r="Z56" s="36"/>
      <c r="AA56" s="36"/>
      <c r="AB56" s="36"/>
      <c r="AC56" s="36"/>
      <c r="AD56" s="36"/>
      <c r="AE56" s="36"/>
      <c r="AF56" s="36"/>
      <c r="AG56" s="36"/>
      <c r="AH56" s="36"/>
    </row>
    <row r="57">
      <c r="A57" s="37" t="s">
        <v>63</v>
      </c>
      <c r="B57" s="38" t="s">
        <v>137</v>
      </c>
      <c r="C57" s="37" t="s">
        <v>124</v>
      </c>
      <c r="D57" s="34"/>
      <c r="E57" s="34"/>
      <c r="F57" s="34"/>
      <c r="G57" s="34"/>
      <c r="H57" s="34"/>
      <c r="I57" s="34"/>
      <c r="J57" s="34"/>
      <c r="K57" s="34"/>
      <c r="L57" s="34"/>
      <c r="M57" s="34"/>
      <c r="N57" s="34"/>
      <c r="O57" s="34"/>
      <c r="P57" s="34"/>
      <c r="Q57" s="34"/>
      <c r="R57" s="34"/>
      <c r="S57" s="34"/>
      <c r="T57" s="34"/>
      <c r="U57" s="34"/>
      <c r="V57" s="34"/>
      <c r="W57" s="34"/>
      <c r="X57" s="34"/>
      <c r="Y57" s="34"/>
      <c r="Z57" s="36"/>
      <c r="AA57" s="36"/>
      <c r="AB57" s="36"/>
      <c r="AC57" s="36"/>
      <c r="AD57" s="36"/>
      <c r="AE57" s="36"/>
      <c r="AF57" s="36"/>
      <c r="AG57" s="36"/>
      <c r="AH57" s="36"/>
    </row>
    <row r="58">
      <c r="A58" s="37" t="s">
        <v>63</v>
      </c>
      <c r="B58" s="39" t="s">
        <v>138</v>
      </c>
      <c r="C58" s="37" t="s">
        <v>124</v>
      </c>
      <c r="D58" s="34"/>
      <c r="E58" s="34"/>
      <c r="F58" s="34"/>
      <c r="G58" s="34"/>
      <c r="H58" s="34"/>
      <c r="I58" s="34"/>
      <c r="J58" s="34"/>
      <c r="K58" s="34"/>
      <c r="L58" s="34"/>
      <c r="M58" s="34"/>
      <c r="N58" s="34"/>
      <c r="O58" s="34"/>
      <c r="P58" s="34"/>
      <c r="Q58" s="34"/>
      <c r="R58" s="34"/>
      <c r="S58" s="34"/>
      <c r="T58" s="34"/>
      <c r="U58" s="34"/>
      <c r="V58" s="34"/>
      <c r="W58" s="34"/>
      <c r="X58" s="34"/>
      <c r="Y58" s="34"/>
      <c r="Z58" s="36"/>
      <c r="AA58" s="36"/>
      <c r="AB58" s="36"/>
      <c r="AC58" s="36"/>
      <c r="AD58" s="36"/>
      <c r="AE58" s="36"/>
      <c r="AF58" s="36"/>
      <c r="AG58" s="36"/>
      <c r="AH58" s="36"/>
    </row>
    <row r="59">
      <c r="A59" s="37" t="s">
        <v>63</v>
      </c>
      <c r="B59" s="38" t="s">
        <v>139</v>
      </c>
      <c r="C59" s="37" t="s">
        <v>124</v>
      </c>
      <c r="D59" s="34"/>
      <c r="E59" s="34"/>
      <c r="F59" s="34"/>
      <c r="G59" s="34"/>
      <c r="H59" s="34"/>
      <c r="I59" s="34"/>
      <c r="J59" s="34"/>
      <c r="K59" s="34"/>
      <c r="L59" s="34"/>
      <c r="M59" s="34"/>
      <c r="N59" s="34"/>
      <c r="O59" s="34"/>
      <c r="P59" s="34"/>
      <c r="Q59" s="34"/>
      <c r="R59" s="34"/>
      <c r="S59" s="34"/>
      <c r="T59" s="34"/>
      <c r="U59" s="34"/>
      <c r="V59" s="34"/>
      <c r="W59" s="34"/>
      <c r="X59" s="34"/>
      <c r="Y59" s="34"/>
      <c r="Z59" s="36"/>
      <c r="AA59" s="36"/>
      <c r="AB59" s="36"/>
      <c r="AC59" s="36"/>
      <c r="AD59" s="36"/>
      <c r="AE59" s="36"/>
      <c r="AF59" s="36"/>
      <c r="AG59" s="36"/>
      <c r="AH59" s="36"/>
    </row>
    <row r="60">
      <c r="A60" s="37" t="s">
        <v>63</v>
      </c>
      <c r="B60" s="39" t="s">
        <v>140</v>
      </c>
      <c r="C60" s="37" t="s">
        <v>124</v>
      </c>
      <c r="D60" s="34"/>
      <c r="E60" s="34"/>
      <c r="F60" s="34"/>
      <c r="G60" s="34"/>
      <c r="H60" s="34"/>
      <c r="I60" s="34"/>
      <c r="J60" s="34"/>
      <c r="K60" s="34"/>
      <c r="L60" s="34"/>
      <c r="M60" s="34"/>
      <c r="N60" s="34"/>
      <c r="O60" s="34"/>
      <c r="P60" s="34"/>
      <c r="Q60" s="34"/>
      <c r="R60" s="34"/>
      <c r="S60" s="34"/>
      <c r="T60" s="34"/>
      <c r="U60" s="34"/>
      <c r="V60" s="34"/>
      <c r="W60" s="34"/>
      <c r="X60" s="34"/>
      <c r="Y60" s="34"/>
      <c r="Z60" s="36"/>
      <c r="AA60" s="36"/>
      <c r="AB60" s="36"/>
      <c r="AC60" s="36"/>
      <c r="AD60" s="36"/>
      <c r="AE60" s="36"/>
      <c r="AF60" s="36"/>
      <c r="AG60" s="36"/>
      <c r="AH60" s="36"/>
    </row>
    <row r="61">
      <c r="A61" s="37" t="s">
        <v>63</v>
      </c>
      <c r="B61" s="38" t="s">
        <v>141</v>
      </c>
      <c r="C61" s="37" t="s">
        <v>124</v>
      </c>
      <c r="D61" s="34"/>
      <c r="E61" s="34"/>
      <c r="F61" s="34"/>
      <c r="G61" s="34"/>
      <c r="H61" s="34"/>
      <c r="I61" s="34"/>
      <c r="J61" s="34"/>
      <c r="K61" s="34"/>
      <c r="L61" s="34"/>
      <c r="M61" s="34"/>
      <c r="N61" s="34"/>
      <c r="O61" s="34"/>
      <c r="P61" s="34"/>
      <c r="Q61" s="34"/>
      <c r="R61" s="34"/>
      <c r="S61" s="34"/>
      <c r="T61" s="34"/>
      <c r="U61" s="34"/>
      <c r="V61" s="34"/>
      <c r="W61" s="34"/>
      <c r="X61" s="34"/>
      <c r="Y61" s="34"/>
      <c r="Z61" s="36"/>
      <c r="AA61" s="36"/>
      <c r="AB61" s="36"/>
      <c r="AC61" s="36"/>
      <c r="AD61" s="36"/>
      <c r="AE61" s="36"/>
      <c r="AF61" s="36"/>
      <c r="AG61" s="36"/>
      <c r="AH61" s="36"/>
    </row>
    <row r="62">
      <c r="A62" s="37" t="s">
        <v>63</v>
      </c>
      <c r="B62" s="39" t="s">
        <v>142</v>
      </c>
      <c r="C62" s="37" t="s">
        <v>124</v>
      </c>
      <c r="D62" s="34"/>
      <c r="E62" s="34"/>
      <c r="F62" s="34"/>
      <c r="G62" s="34"/>
      <c r="H62" s="34"/>
      <c r="I62" s="34"/>
      <c r="J62" s="34"/>
      <c r="K62" s="34"/>
      <c r="L62" s="34"/>
      <c r="M62" s="34"/>
      <c r="N62" s="34"/>
      <c r="O62" s="34"/>
      <c r="P62" s="34"/>
      <c r="Q62" s="34"/>
      <c r="R62" s="34"/>
      <c r="S62" s="34"/>
      <c r="T62" s="34"/>
      <c r="U62" s="34"/>
      <c r="V62" s="34"/>
      <c r="W62" s="34"/>
      <c r="X62" s="34"/>
      <c r="Y62" s="34"/>
      <c r="Z62" s="36"/>
      <c r="AA62" s="36"/>
      <c r="AB62" s="36"/>
      <c r="AC62" s="36"/>
      <c r="AD62" s="36"/>
      <c r="AE62" s="36"/>
      <c r="AF62" s="36"/>
      <c r="AG62" s="36"/>
      <c r="AH62" s="36"/>
    </row>
    <row r="63">
      <c r="A63" s="37" t="s">
        <v>63</v>
      </c>
      <c r="B63" s="38" t="s">
        <v>143</v>
      </c>
      <c r="C63" s="37" t="s">
        <v>124</v>
      </c>
      <c r="D63" s="34"/>
      <c r="E63" s="34"/>
      <c r="F63" s="34"/>
      <c r="G63" s="34"/>
      <c r="H63" s="34"/>
      <c r="I63" s="34"/>
      <c r="J63" s="34"/>
      <c r="K63" s="34"/>
      <c r="L63" s="34"/>
      <c r="M63" s="34"/>
      <c r="N63" s="34"/>
      <c r="O63" s="34"/>
      <c r="P63" s="34"/>
      <c r="Q63" s="34"/>
      <c r="R63" s="34"/>
      <c r="S63" s="34"/>
      <c r="T63" s="34"/>
      <c r="U63" s="34"/>
      <c r="V63" s="34"/>
      <c r="W63" s="34"/>
      <c r="X63" s="34"/>
      <c r="Y63" s="34"/>
      <c r="Z63" s="36"/>
      <c r="AA63" s="36"/>
      <c r="AB63" s="36"/>
      <c r="AC63" s="36"/>
      <c r="AD63" s="36"/>
      <c r="AE63" s="36"/>
      <c r="AF63" s="36"/>
      <c r="AG63" s="36"/>
      <c r="AH63" s="36"/>
    </row>
    <row r="64">
      <c r="A64" s="37" t="s">
        <v>63</v>
      </c>
      <c r="B64" s="39" t="s">
        <v>144</v>
      </c>
      <c r="C64" s="37" t="s">
        <v>124</v>
      </c>
      <c r="D64" s="34"/>
      <c r="E64" s="34"/>
      <c r="F64" s="34"/>
      <c r="G64" s="34"/>
      <c r="H64" s="34"/>
      <c r="I64" s="34"/>
      <c r="J64" s="34"/>
      <c r="K64" s="34"/>
      <c r="L64" s="34"/>
      <c r="M64" s="34"/>
      <c r="N64" s="34"/>
      <c r="O64" s="34"/>
      <c r="P64" s="34"/>
      <c r="Q64" s="34"/>
      <c r="R64" s="34"/>
      <c r="S64" s="34"/>
      <c r="T64" s="34"/>
      <c r="U64" s="34"/>
      <c r="V64" s="34"/>
      <c r="W64" s="34"/>
      <c r="X64" s="34"/>
      <c r="Y64" s="34"/>
      <c r="Z64" s="36"/>
      <c r="AA64" s="36"/>
      <c r="AB64" s="36"/>
      <c r="AC64" s="36"/>
      <c r="AD64" s="36"/>
      <c r="AE64" s="36"/>
      <c r="AF64" s="36"/>
      <c r="AG64" s="36"/>
      <c r="AH64" s="36"/>
    </row>
    <row r="65">
      <c r="A65" s="37" t="s">
        <v>63</v>
      </c>
      <c r="B65" s="38" t="s">
        <v>145</v>
      </c>
      <c r="C65" s="37" t="s">
        <v>124</v>
      </c>
      <c r="D65" s="34"/>
      <c r="E65" s="34"/>
      <c r="F65" s="34"/>
      <c r="G65" s="34"/>
      <c r="H65" s="34"/>
      <c r="I65" s="34"/>
      <c r="J65" s="34"/>
      <c r="K65" s="34"/>
      <c r="L65" s="34"/>
      <c r="M65" s="34"/>
      <c r="N65" s="34"/>
      <c r="O65" s="34"/>
      <c r="P65" s="34"/>
      <c r="Q65" s="34"/>
      <c r="R65" s="34"/>
      <c r="S65" s="34"/>
      <c r="T65" s="34"/>
      <c r="U65" s="34"/>
      <c r="V65" s="34"/>
      <c r="W65" s="34"/>
      <c r="X65" s="34"/>
      <c r="Y65" s="34"/>
      <c r="Z65" s="36"/>
      <c r="AA65" s="36"/>
      <c r="AB65" s="36"/>
      <c r="AC65" s="36"/>
      <c r="AD65" s="36"/>
      <c r="AE65" s="36"/>
      <c r="AF65" s="36"/>
      <c r="AG65" s="36"/>
      <c r="AH65" s="36"/>
    </row>
    <row r="66">
      <c r="A66" s="37" t="s">
        <v>63</v>
      </c>
      <c r="B66" s="39" t="s">
        <v>146</v>
      </c>
      <c r="C66" s="37" t="s">
        <v>124</v>
      </c>
      <c r="D66" s="34"/>
      <c r="E66" s="34"/>
      <c r="F66" s="34"/>
      <c r="G66" s="34"/>
      <c r="H66" s="34"/>
      <c r="I66" s="34"/>
      <c r="J66" s="34"/>
      <c r="K66" s="34"/>
      <c r="L66" s="34"/>
      <c r="M66" s="34"/>
      <c r="N66" s="34"/>
      <c r="O66" s="34"/>
      <c r="P66" s="34"/>
      <c r="Q66" s="34"/>
      <c r="R66" s="34"/>
      <c r="S66" s="34"/>
      <c r="T66" s="34"/>
      <c r="U66" s="34"/>
      <c r="V66" s="34"/>
      <c r="W66" s="34"/>
      <c r="X66" s="34"/>
      <c r="Y66" s="34"/>
      <c r="Z66" s="36"/>
      <c r="AA66" s="36"/>
      <c r="AB66" s="36"/>
      <c r="AC66" s="36"/>
      <c r="AD66" s="36"/>
      <c r="AE66" s="36"/>
      <c r="AF66" s="36"/>
      <c r="AG66" s="36"/>
      <c r="AH66" s="36"/>
    </row>
    <row r="67">
      <c r="A67" s="37" t="s">
        <v>63</v>
      </c>
      <c r="B67" s="38" t="s">
        <v>147</v>
      </c>
      <c r="C67" s="37" t="s">
        <v>124</v>
      </c>
      <c r="D67" s="34"/>
      <c r="E67" s="34"/>
      <c r="F67" s="34"/>
      <c r="G67" s="34"/>
      <c r="H67" s="34"/>
      <c r="I67" s="34"/>
      <c r="J67" s="34"/>
      <c r="K67" s="34"/>
      <c r="L67" s="34"/>
      <c r="M67" s="34"/>
      <c r="N67" s="34"/>
      <c r="O67" s="34"/>
      <c r="P67" s="34"/>
      <c r="Q67" s="34"/>
      <c r="R67" s="34"/>
      <c r="S67" s="34"/>
      <c r="T67" s="34"/>
      <c r="U67" s="34"/>
      <c r="V67" s="34"/>
      <c r="W67" s="34"/>
      <c r="X67" s="34"/>
      <c r="Y67" s="34"/>
      <c r="Z67" s="36"/>
      <c r="AA67" s="36"/>
      <c r="AB67" s="36"/>
      <c r="AC67" s="36"/>
      <c r="AD67" s="36"/>
      <c r="AE67" s="36"/>
      <c r="AF67" s="36"/>
      <c r="AG67" s="36"/>
      <c r="AH67" s="36"/>
    </row>
    <row r="68">
      <c r="A68" s="37" t="s">
        <v>63</v>
      </c>
      <c r="B68" s="39" t="s">
        <v>148</v>
      </c>
      <c r="C68" s="37" t="s">
        <v>124</v>
      </c>
      <c r="D68" s="34"/>
      <c r="E68" s="34"/>
      <c r="F68" s="34"/>
      <c r="G68" s="34"/>
      <c r="H68" s="34"/>
      <c r="I68" s="34"/>
      <c r="J68" s="34"/>
      <c r="K68" s="34"/>
      <c r="L68" s="34"/>
      <c r="M68" s="34"/>
      <c r="N68" s="34"/>
      <c r="O68" s="34"/>
      <c r="P68" s="34"/>
      <c r="Q68" s="34"/>
      <c r="R68" s="34"/>
      <c r="S68" s="34"/>
      <c r="T68" s="34"/>
      <c r="U68" s="34"/>
      <c r="V68" s="34"/>
      <c r="W68" s="34"/>
      <c r="X68" s="34"/>
      <c r="Y68" s="34"/>
      <c r="Z68" s="36"/>
      <c r="AA68" s="36"/>
      <c r="AB68" s="36"/>
      <c r="AC68" s="36"/>
      <c r="AD68" s="36"/>
      <c r="AE68" s="36"/>
      <c r="AF68" s="36"/>
      <c r="AG68" s="36"/>
      <c r="AH68" s="36"/>
    </row>
    <row r="69">
      <c r="A69" s="37" t="s">
        <v>63</v>
      </c>
      <c r="B69" s="38" t="s">
        <v>149</v>
      </c>
      <c r="C69" s="37" t="s">
        <v>124</v>
      </c>
      <c r="D69" s="34"/>
      <c r="E69" s="34"/>
      <c r="F69" s="34"/>
      <c r="G69" s="34"/>
      <c r="H69" s="34"/>
      <c r="I69" s="34"/>
      <c r="J69" s="34"/>
      <c r="K69" s="34"/>
      <c r="L69" s="34"/>
      <c r="M69" s="34"/>
      <c r="N69" s="34"/>
      <c r="O69" s="34"/>
      <c r="P69" s="34"/>
      <c r="Q69" s="34"/>
      <c r="R69" s="34"/>
      <c r="S69" s="34"/>
      <c r="T69" s="34"/>
      <c r="U69" s="34"/>
      <c r="V69" s="34"/>
      <c r="W69" s="34"/>
      <c r="X69" s="34"/>
      <c r="Y69" s="34"/>
      <c r="Z69" s="36"/>
      <c r="AA69" s="36"/>
      <c r="AB69" s="36"/>
      <c r="AC69" s="36"/>
      <c r="AD69" s="36"/>
      <c r="AE69" s="36"/>
      <c r="AF69" s="36"/>
      <c r="AG69" s="36"/>
      <c r="AH69" s="36"/>
    </row>
    <row r="70">
      <c r="A70" s="37" t="s">
        <v>63</v>
      </c>
      <c r="B70" s="39" t="s">
        <v>150</v>
      </c>
      <c r="C70" s="37" t="s">
        <v>124</v>
      </c>
      <c r="D70" s="34"/>
      <c r="E70" s="34"/>
      <c r="F70" s="34"/>
      <c r="G70" s="34"/>
      <c r="H70" s="34"/>
      <c r="I70" s="34"/>
      <c r="J70" s="34"/>
      <c r="K70" s="34"/>
      <c r="L70" s="34"/>
      <c r="M70" s="34"/>
      <c r="N70" s="34"/>
      <c r="O70" s="34"/>
      <c r="P70" s="34"/>
      <c r="Q70" s="34"/>
      <c r="R70" s="34"/>
      <c r="S70" s="34"/>
      <c r="T70" s="34"/>
      <c r="U70" s="34"/>
      <c r="V70" s="34"/>
      <c r="W70" s="34"/>
      <c r="X70" s="34"/>
      <c r="Y70" s="34"/>
      <c r="Z70" s="36"/>
      <c r="AA70" s="36"/>
      <c r="AB70" s="36"/>
      <c r="AC70" s="36"/>
      <c r="AD70" s="36"/>
      <c r="AE70" s="36"/>
      <c r="AF70" s="36"/>
      <c r="AG70" s="36"/>
      <c r="AH70" s="36"/>
    </row>
    <row r="71">
      <c r="A71" s="37" t="s">
        <v>63</v>
      </c>
      <c r="B71" s="38" t="s">
        <v>151</v>
      </c>
      <c r="C71" s="37" t="s">
        <v>124</v>
      </c>
      <c r="D71" s="34"/>
      <c r="E71" s="34"/>
      <c r="F71" s="34"/>
      <c r="G71" s="34"/>
      <c r="H71" s="34"/>
      <c r="I71" s="34"/>
      <c r="J71" s="34"/>
      <c r="K71" s="34"/>
      <c r="L71" s="34"/>
      <c r="M71" s="34"/>
      <c r="N71" s="34"/>
      <c r="O71" s="34"/>
      <c r="P71" s="34"/>
      <c r="Q71" s="34"/>
      <c r="R71" s="34"/>
      <c r="S71" s="34"/>
      <c r="T71" s="34"/>
      <c r="U71" s="34"/>
      <c r="V71" s="34"/>
      <c r="W71" s="34"/>
      <c r="X71" s="34"/>
      <c r="Y71" s="34"/>
      <c r="Z71" s="36"/>
      <c r="AA71" s="36"/>
      <c r="AB71" s="36"/>
      <c r="AC71" s="36"/>
      <c r="AD71" s="36"/>
      <c r="AE71" s="36"/>
      <c r="AF71" s="36"/>
      <c r="AG71" s="36"/>
      <c r="AH71" s="36"/>
    </row>
    <row r="72">
      <c r="A72" s="37" t="s">
        <v>63</v>
      </c>
      <c r="B72" s="39" t="s">
        <v>152</v>
      </c>
      <c r="C72" s="37" t="s">
        <v>124</v>
      </c>
      <c r="D72" s="34"/>
      <c r="E72" s="34"/>
      <c r="F72" s="34"/>
      <c r="G72" s="34"/>
      <c r="H72" s="34"/>
      <c r="I72" s="34"/>
      <c r="J72" s="34"/>
      <c r="K72" s="34"/>
      <c r="L72" s="34"/>
      <c r="M72" s="34"/>
      <c r="N72" s="34"/>
      <c r="O72" s="34"/>
      <c r="P72" s="34"/>
      <c r="Q72" s="34"/>
      <c r="R72" s="34"/>
      <c r="S72" s="34"/>
      <c r="T72" s="34"/>
      <c r="U72" s="34"/>
      <c r="V72" s="34"/>
      <c r="W72" s="34"/>
      <c r="X72" s="34"/>
      <c r="Y72" s="34"/>
      <c r="Z72" s="36"/>
      <c r="AA72" s="36"/>
      <c r="AB72" s="36"/>
      <c r="AC72" s="36"/>
      <c r="AD72" s="36"/>
      <c r="AE72" s="36"/>
      <c r="AF72" s="36"/>
      <c r="AG72" s="36"/>
      <c r="AH72" s="36"/>
    </row>
    <row r="73">
      <c r="A73" s="37" t="s">
        <v>63</v>
      </c>
      <c r="B73" s="38" t="s">
        <v>153</v>
      </c>
      <c r="C73" s="37" t="s">
        <v>124</v>
      </c>
      <c r="D73" s="34"/>
      <c r="E73" s="34"/>
      <c r="F73" s="34"/>
      <c r="G73" s="34"/>
      <c r="H73" s="34"/>
      <c r="I73" s="34"/>
      <c r="J73" s="34"/>
      <c r="K73" s="34"/>
      <c r="L73" s="34"/>
      <c r="M73" s="34"/>
      <c r="N73" s="34"/>
      <c r="O73" s="34"/>
      <c r="P73" s="34"/>
      <c r="Q73" s="34"/>
      <c r="R73" s="34"/>
      <c r="S73" s="34"/>
      <c r="T73" s="34"/>
      <c r="U73" s="34"/>
      <c r="V73" s="34"/>
      <c r="W73" s="34"/>
      <c r="X73" s="34"/>
      <c r="Y73" s="34"/>
      <c r="Z73" s="36"/>
      <c r="AA73" s="36"/>
      <c r="AB73" s="36"/>
      <c r="AC73" s="36"/>
      <c r="AD73" s="36"/>
      <c r="AE73" s="36"/>
      <c r="AF73" s="36"/>
      <c r="AG73" s="36"/>
      <c r="AH73" s="36"/>
    </row>
    <row r="74">
      <c r="A74" s="37" t="s">
        <v>63</v>
      </c>
      <c r="B74" s="39" t="s">
        <v>154</v>
      </c>
      <c r="C74" s="37" t="s">
        <v>124</v>
      </c>
      <c r="D74" s="34"/>
      <c r="E74" s="34"/>
      <c r="F74" s="34"/>
      <c r="G74" s="34"/>
      <c r="H74" s="34"/>
      <c r="I74" s="34"/>
      <c r="J74" s="34"/>
      <c r="K74" s="34"/>
      <c r="L74" s="34"/>
      <c r="M74" s="34"/>
      <c r="N74" s="34"/>
      <c r="O74" s="34"/>
      <c r="P74" s="34"/>
      <c r="Q74" s="34"/>
      <c r="R74" s="34"/>
      <c r="S74" s="34"/>
      <c r="T74" s="34"/>
      <c r="U74" s="34"/>
      <c r="V74" s="34"/>
      <c r="W74" s="34"/>
      <c r="X74" s="34"/>
      <c r="Y74" s="34"/>
      <c r="Z74" s="36"/>
      <c r="AA74" s="36"/>
      <c r="AB74" s="36"/>
      <c r="AC74" s="36"/>
      <c r="AD74" s="36"/>
      <c r="AE74" s="36"/>
      <c r="AF74" s="36"/>
      <c r="AG74" s="36"/>
      <c r="AH74" s="36"/>
    </row>
    <row r="75">
      <c r="A75" s="37" t="s">
        <v>63</v>
      </c>
      <c r="B75" s="38" t="s">
        <v>155</v>
      </c>
      <c r="C75" s="37" t="s">
        <v>124</v>
      </c>
      <c r="D75" s="34"/>
      <c r="E75" s="34"/>
      <c r="F75" s="34"/>
      <c r="G75" s="34"/>
      <c r="H75" s="34"/>
      <c r="I75" s="34"/>
      <c r="J75" s="34"/>
      <c r="K75" s="34"/>
      <c r="L75" s="34"/>
      <c r="M75" s="34"/>
      <c r="N75" s="34"/>
      <c r="O75" s="34"/>
      <c r="P75" s="34"/>
      <c r="Q75" s="34"/>
      <c r="R75" s="34"/>
      <c r="S75" s="34"/>
      <c r="T75" s="34"/>
      <c r="U75" s="34"/>
      <c r="V75" s="34"/>
      <c r="W75" s="34"/>
      <c r="X75" s="34"/>
      <c r="Y75" s="34"/>
      <c r="Z75" s="36"/>
      <c r="AA75" s="36"/>
      <c r="AB75" s="36"/>
      <c r="AC75" s="36"/>
      <c r="AD75" s="36"/>
      <c r="AE75" s="36"/>
      <c r="AF75" s="36"/>
      <c r="AG75" s="36"/>
      <c r="AH75" s="36"/>
    </row>
    <row r="76">
      <c r="A76" s="37" t="s">
        <v>63</v>
      </c>
      <c r="B76" s="39" t="s">
        <v>156</v>
      </c>
      <c r="C76" s="37" t="s">
        <v>124</v>
      </c>
      <c r="D76" s="34"/>
      <c r="E76" s="34"/>
      <c r="F76" s="34"/>
      <c r="G76" s="34"/>
      <c r="H76" s="34"/>
      <c r="I76" s="34"/>
      <c r="J76" s="34"/>
      <c r="K76" s="34"/>
      <c r="L76" s="34"/>
      <c r="M76" s="34"/>
      <c r="N76" s="34"/>
      <c r="O76" s="34"/>
      <c r="P76" s="34"/>
      <c r="Q76" s="34"/>
      <c r="R76" s="34"/>
      <c r="S76" s="34"/>
      <c r="T76" s="34"/>
      <c r="U76" s="34"/>
      <c r="V76" s="34"/>
      <c r="W76" s="34"/>
      <c r="X76" s="34"/>
      <c r="Y76" s="34"/>
      <c r="Z76" s="36"/>
      <c r="AA76" s="36"/>
      <c r="AB76" s="36"/>
      <c r="AC76" s="36"/>
      <c r="AD76" s="36"/>
      <c r="AE76" s="36"/>
      <c r="AF76" s="36"/>
      <c r="AG76" s="36"/>
      <c r="AH76" s="36"/>
    </row>
    <row r="77">
      <c r="A77" s="37" t="s">
        <v>63</v>
      </c>
      <c r="B77" s="38" t="s">
        <v>157</v>
      </c>
      <c r="C77" s="37" t="s">
        <v>124</v>
      </c>
      <c r="D77" s="34"/>
      <c r="E77" s="34"/>
      <c r="F77" s="34"/>
      <c r="G77" s="34"/>
      <c r="H77" s="34"/>
      <c r="I77" s="34"/>
      <c r="J77" s="34"/>
      <c r="K77" s="34"/>
      <c r="L77" s="34"/>
      <c r="M77" s="34"/>
      <c r="N77" s="34"/>
      <c r="O77" s="34"/>
      <c r="P77" s="34"/>
      <c r="Q77" s="34"/>
      <c r="R77" s="34"/>
      <c r="S77" s="34"/>
      <c r="T77" s="34"/>
      <c r="U77" s="34"/>
      <c r="V77" s="34"/>
      <c r="W77" s="34"/>
      <c r="X77" s="34"/>
      <c r="Y77" s="34"/>
      <c r="Z77" s="36"/>
      <c r="AA77" s="36"/>
      <c r="AB77" s="36"/>
      <c r="AC77" s="36"/>
      <c r="AD77" s="36"/>
      <c r="AE77" s="36"/>
      <c r="AF77" s="36"/>
      <c r="AG77" s="36"/>
      <c r="AH77" s="36"/>
    </row>
    <row r="78">
      <c r="A78" s="37" t="s">
        <v>63</v>
      </c>
      <c r="B78" s="39" t="s">
        <v>158</v>
      </c>
      <c r="C78" s="37" t="s">
        <v>124</v>
      </c>
      <c r="D78" s="34"/>
      <c r="E78" s="34"/>
      <c r="F78" s="34"/>
      <c r="G78" s="34"/>
      <c r="H78" s="34"/>
      <c r="I78" s="34"/>
      <c r="J78" s="34"/>
      <c r="K78" s="34"/>
      <c r="L78" s="34"/>
      <c r="M78" s="34"/>
      <c r="N78" s="34"/>
      <c r="O78" s="34"/>
      <c r="P78" s="34"/>
      <c r="Q78" s="34"/>
      <c r="R78" s="34"/>
      <c r="S78" s="34"/>
      <c r="T78" s="34"/>
      <c r="U78" s="34"/>
      <c r="V78" s="34"/>
      <c r="W78" s="34"/>
      <c r="X78" s="34"/>
      <c r="Y78" s="34"/>
      <c r="Z78" s="36"/>
      <c r="AA78" s="36"/>
      <c r="AB78" s="36"/>
      <c r="AC78" s="36"/>
      <c r="AD78" s="36"/>
      <c r="AE78" s="36"/>
      <c r="AF78" s="36"/>
      <c r="AG78" s="36"/>
      <c r="AH78" s="36"/>
    </row>
    <row r="79">
      <c r="A79" s="37" t="s">
        <v>63</v>
      </c>
      <c r="B79" s="38" t="s">
        <v>159</v>
      </c>
      <c r="C79" s="37" t="s">
        <v>124</v>
      </c>
      <c r="D79" s="34"/>
      <c r="E79" s="34"/>
      <c r="F79" s="34"/>
      <c r="G79" s="34"/>
      <c r="H79" s="34"/>
      <c r="I79" s="34"/>
      <c r="J79" s="34"/>
      <c r="K79" s="34"/>
      <c r="L79" s="34"/>
      <c r="M79" s="34"/>
      <c r="N79" s="34"/>
      <c r="O79" s="34"/>
      <c r="P79" s="34"/>
      <c r="Q79" s="34"/>
      <c r="R79" s="34"/>
      <c r="S79" s="34"/>
      <c r="T79" s="34"/>
      <c r="U79" s="34"/>
      <c r="V79" s="34"/>
      <c r="W79" s="34"/>
      <c r="X79" s="34"/>
      <c r="Y79" s="34"/>
      <c r="Z79" s="36"/>
      <c r="AA79" s="36"/>
      <c r="AB79" s="36"/>
      <c r="AC79" s="36"/>
      <c r="AD79" s="36"/>
      <c r="AE79" s="36"/>
      <c r="AF79" s="36"/>
      <c r="AG79" s="36"/>
      <c r="AH79" s="36"/>
    </row>
    <row r="80">
      <c r="A80" s="37" t="s">
        <v>63</v>
      </c>
      <c r="B80" s="39" t="s">
        <v>160</v>
      </c>
      <c r="C80" s="37" t="s">
        <v>124</v>
      </c>
      <c r="D80" s="34"/>
      <c r="E80" s="34"/>
      <c r="F80" s="34"/>
      <c r="G80" s="34"/>
      <c r="H80" s="34"/>
      <c r="I80" s="34"/>
      <c r="J80" s="34"/>
      <c r="K80" s="34"/>
      <c r="L80" s="34"/>
      <c r="M80" s="34"/>
      <c r="N80" s="34"/>
      <c r="O80" s="34"/>
      <c r="P80" s="34"/>
      <c r="Q80" s="34"/>
      <c r="R80" s="34"/>
      <c r="S80" s="34"/>
      <c r="T80" s="34"/>
      <c r="U80" s="34"/>
      <c r="V80" s="34"/>
      <c r="W80" s="34"/>
      <c r="X80" s="34"/>
      <c r="Y80" s="34"/>
      <c r="Z80" s="36"/>
      <c r="AA80" s="36"/>
      <c r="AB80" s="36"/>
      <c r="AC80" s="36"/>
      <c r="AD80" s="36"/>
      <c r="AE80" s="36"/>
      <c r="AF80" s="36"/>
      <c r="AG80" s="36"/>
      <c r="AH80" s="36"/>
    </row>
    <row r="81">
      <c r="A81" s="37" t="s">
        <v>102</v>
      </c>
      <c r="B81" s="40" t="s">
        <v>161</v>
      </c>
      <c r="C81" s="37" t="s">
        <v>54</v>
      </c>
      <c r="D81" s="37" t="s">
        <v>162</v>
      </c>
      <c r="E81" s="37" t="s">
        <v>162</v>
      </c>
      <c r="F81" s="37" t="s">
        <v>162</v>
      </c>
      <c r="G81" s="37" t="s">
        <v>162</v>
      </c>
      <c r="H81" s="37" t="s">
        <v>162</v>
      </c>
      <c r="I81" s="37" t="s">
        <v>162</v>
      </c>
      <c r="J81" s="37" t="s">
        <v>162</v>
      </c>
      <c r="K81" s="37" t="s">
        <v>162</v>
      </c>
      <c r="L81" s="37" t="s">
        <v>162</v>
      </c>
      <c r="M81" s="37" t="s">
        <v>162</v>
      </c>
      <c r="N81" s="37" t="s">
        <v>162</v>
      </c>
      <c r="O81" s="37" t="s">
        <v>162</v>
      </c>
      <c r="P81" s="37" t="s">
        <v>162</v>
      </c>
      <c r="Q81" s="37" t="s">
        <v>163</v>
      </c>
      <c r="R81" s="34"/>
      <c r="S81" s="34"/>
      <c r="T81" s="34"/>
      <c r="U81" s="34"/>
      <c r="V81" s="34"/>
      <c r="W81" s="34"/>
      <c r="X81" s="34"/>
      <c r="Y81" s="34"/>
      <c r="Z81" s="36"/>
      <c r="AA81" s="36"/>
      <c r="AB81" s="36"/>
      <c r="AC81" s="36"/>
      <c r="AD81" s="36"/>
      <c r="AE81" s="36"/>
      <c r="AF81" s="36"/>
      <c r="AG81" s="36"/>
      <c r="AH81" s="36"/>
    </row>
    <row r="82">
      <c r="A82" s="37" t="s">
        <v>102</v>
      </c>
      <c r="B82" s="40" t="s">
        <v>164</v>
      </c>
      <c r="C82" s="37" t="s">
        <v>54</v>
      </c>
      <c r="D82" s="37" t="s">
        <v>162</v>
      </c>
      <c r="E82" s="37" t="s">
        <v>162</v>
      </c>
      <c r="F82" s="37" t="s">
        <v>162</v>
      </c>
      <c r="G82" s="37" t="s">
        <v>162</v>
      </c>
      <c r="H82" s="37" t="s">
        <v>162</v>
      </c>
      <c r="I82" s="37" t="s">
        <v>162</v>
      </c>
      <c r="J82" s="37" t="s">
        <v>162</v>
      </c>
      <c r="K82" s="37" t="s">
        <v>162</v>
      </c>
      <c r="L82" s="37" t="s">
        <v>162</v>
      </c>
      <c r="M82" s="37" t="s">
        <v>162</v>
      </c>
      <c r="N82" s="37" t="s">
        <v>162</v>
      </c>
      <c r="O82" s="37" t="s">
        <v>162</v>
      </c>
      <c r="P82" s="37" t="s">
        <v>162</v>
      </c>
      <c r="Q82" s="37" t="s">
        <v>165</v>
      </c>
      <c r="R82" s="34"/>
      <c r="S82" s="34"/>
      <c r="T82" s="34"/>
      <c r="U82" s="34"/>
      <c r="V82" s="34"/>
      <c r="W82" s="34"/>
      <c r="X82" s="34"/>
      <c r="Y82" s="34"/>
      <c r="Z82" s="36"/>
      <c r="AA82" s="36"/>
      <c r="AB82" s="36"/>
      <c r="AC82" s="36"/>
      <c r="AD82" s="36"/>
      <c r="AE82" s="36"/>
      <c r="AF82" s="36"/>
      <c r="AG82" s="36"/>
      <c r="AH82" s="36"/>
    </row>
    <row r="83">
      <c r="A83" s="34"/>
      <c r="B83" s="35"/>
      <c r="C83" s="34"/>
      <c r="D83" s="34"/>
      <c r="E83" s="34"/>
      <c r="F83" s="34"/>
      <c r="G83" s="34"/>
      <c r="H83" s="34"/>
      <c r="I83" s="34"/>
      <c r="J83" s="34"/>
      <c r="K83" s="34"/>
      <c r="L83" s="34"/>
      <c r="M83" s="34"/>
      <c r="N83" s="34"/>
      <c r="O83" s="34"/>
      <c r="P83" s="34"/>
      <c r="Q83" s="34"/>
      <c r="R83" s="34"/>
      <c r="S83" s="34"/>
      <c r="T83" s="34"/>
      <c r="U83" s="34"/>
      <c r="V83" s="34"/>
      <c r="W83" s="34"/>
      <c r="X83" s="34"/>
      <c r="Y83" s="34"/>
      <c r="Z83" s="36"/>
      <c r="AA83" s="36"/>
      <c r="AB83" s="36"/>
      <c r="AC83" s="36"/>
      <c r="AD83" s="36"/>
      <c r="AE83" s="36"/>
      <c r="AF83" s="36"/>
      <c r="AG83" s="36"/>
      <c r="AH83" s="36"/>
    </row>
    <row r="84">
      <c r="A84" s="42" t="s">
        <v>49</v>
      </c>
      <c r="B84" s="38" t="s">
        <v>166</v>
      </c>
      <c r="C84" s="38" t="s">
        <v>167</v>
      </c>
      <c r="D84" s="38" t="s">
        <v>168</v>
      </c>
      <c r="E84" s="38" t="s">
        <v>169</v>
      </c>
      <c r="F84" s="34"/>
      <c r="G84" s="34"/>
      <c r="H84" s="34"/>
      <c r="I84" s="34"/>
      <c r="J84" s="43"/>
      <c r="K84" s="38" t="s">
        <v>170</v>
      </c>
      <c r="L84" s="34"/>
      <c r="M84" s="34"/>
      <c r="N84" s="34"/>
      <c r="O84" s="34"/>
      <c r="P84" s="34"/>
      <c r="Q84" s="34"/>
      <c r="R84" s="34"/>
      <c r="S84" s="34"/>
      <c r="T84" s="34"/>
      <c r="U84" s="34"/>
      <c r="V84" s="34"/>
      <c r="W84" s="34"/>
      <c r="X84" s="34"/>
      <c r="Y84" s="34"/>
      <c r="Z84" s="36"/>
      <c r="AA84" s="36"/>
      <c r="AB84" s="36"/>
      <c r="AC84" s="36"/>
      <c r="AD84" s="36"/>
      <c r="AE84" s="36"/>
      <c r="AF84" s="36"/>
      <c r="AG84" s="36"/>
      <c r="AH84" s="36"/>
    </row>
    <row r="85">
      <c r="A85" s="39" t="s">
        <v>38</v>
      </c>
      <c r="B85" s="39" t="s">
        <v>171</v>
      </c>
      <c r="C85" s="39" t="s">
        <v>172</v>
      </c>
      <c r="D85" s="39" t="str">
        <f>IFERROR(__xludf.DUMMYFUNCTION("GOOGLETRANSLATE(C85,""en"",""fr"")"),"Résumé du bilan de santé pour adultes de ${patient_name}")</f>
        <v>Résumé du bilan de santé pour adultes de ${patient_name}</v>
      </c>
      <c r="E85" s="39" t="str">
        <f>IFERROR(__xludf.DUMMYFUNCTION("GOOGLETRANSLATE(C85,""en"",""ht"")"),"Rezime Tcheke Sante pou Adilt pou ${patient_name}")</f>
        <v>Rezime Tcheke Sante pou Adilt pou ${patient_name}</v>
      </c>
      <c r="F85" s="34"/>
      <c r="G85" s="34"/>
      <c r="H85" s="34"/>
      <c r="I85" s="34"/>
      <c r="J85" s="44"/>
      <c r="K85" s="39" t="s">
        <v>173</v>
      </c>
      <c r="L85" s="34"/>
      <c r="M85" s="34"/>
      <c r="N85" s="34"/>
      <c r="O85" s="34"/>
      <c r="P85" s="34"/>
      <c r="Q85" s="34"/>
      <c r="R85" s="34"/>
      <c r="S85" s="34"/>
      <c r="T85" s="34"/>
      <c r="U85" s="34"/>
      <c r="V85" s="34"/>
      <c r="W85" s="34"/>
      <c r="X85" s="34"/>
      <c r="Y85" s="34"/>
      <c r="Z85" s="36"/>
      <c r="AA85" s="36"/>
      <c r="AB85" s="36"/>
      <c r="AC85" s="36"/>
      <c r="AD85" s="36"/>
      <c r="AE85" s="36"/>
      <c r="AF85" s="36"/>
      <c r="AG85" s="36"/>
      <c r="AH85" s="36"/>
    </row>
    <row r="86">
      <c r="A86" s="38" t="s">
        <v>38</v>
      </c>
      <c r="B86" s="38" t="s">
        <v>174</v>
      </c>
      <c r="C86" s="45" t="s">
        <v>175</v>
      </c>
      <c r="D86" s="46" t="s">
        <v>176</v>
      </c>
      <c r="E86" s="46" t="s">
        <v>177</v>
      </c>
      <c r="F86" s="34"/>
      <c r="G86" s="34"/>
      <c r="H86" s="34"/>
      <c r="I86" s="34"/>
      <c r="J86" s="43"/>
      <c r="K86" s="38" t="s">
        <v>178</v>
      </c>
      <c r="L86" s="34"/>
      <c r="M86" s="34"/>
      <c r="N86" s="34"/>
      <c r="O86" s="34"/>
      <c r="P86" s="34"/>
      <c r="Q86" s="34"/>
      <c r="R86" s="34"/>
      <c r="S86" s="34"/>
      <c r="T86" s="34"/>
      <c r="U86" s="34"/>
      <c r="V86" s="34"/>
      <c r="W86" s="34"/>
      <c r="X86" s="34"/>
      <c r="Y86" s="34"/>
      <c r="Z86" s="36"/>
      <c r="AA86" s="36"/>
      <c r="AB86" s="36"/>
      <c r="AC86" s="36"/>
      <c r="AD86" s="36"/>
      <c r="AE86" s="36"/>
      <c r="AF86" s="36"/>
      <c r="AG86" s="36"/>
      <c r="AH86" s="36"/>
    </row>
    <row r="87">
      <c r="A87" s="39" t="s">
        <v>38</v>
      </c>
      <c r="B87" s="39" t="s">
        <v>179</v>
      </c>
      <c r="C87" s="39" t="s">
        <v>180</v>
      </c>
      <c r="D87" s="39" t="str">
        <f>IFERROR(__xludf.DUMMYFUNCTION("GOOGLETRANSLATE(C87,""en"",""fr"")"),"Hyperglycémie légère")</f>
        <v>Hyperglycémie légère</v>
      </c>
      <c r="E87" s="39" t="str">
        <f>IFERROR(__xludf.DUMMYFUNCTION("GOOGLETRANSLATE(C87,""en"",""ht"")"),"Ipèglisemi lejè")</f>
        <v>Ipèglisemi lejè</v>
      </c>
      <c r="F87" s="34"/>
      <c r="G87" s="34"/>
      <c r="H87" s="34"/>
      <c r="I87" s="34"/>
      <c r="J87" s="39" t="s">
        <v>181</v>
      </c>
      <c r="K87" s="39" t="s">
        <v>182</v>
      </c>
      <c r="L87" s="34"/>
      <c r="M87" s="34"/>
      <c r="N87" s="34"/>
      <c r="O87" s="34"/>
      <c r="P87" s="34"/>
      <c r="Q87" s="34"/>
      <c r="R87" s="34"/>
      <c r="S87" s="34"/>
      <c r="T87" s="34"/>
      <c r="U87" s="34"/>
      <c r="V87" s="34"/>
      <c r="W87" s="34"/>
      <c r="X87" s="34"/>
      <c r="Y87" s="34"/>
      <c r="Z87" s="36"/>
      <c r="AA87" s="36"/>
      <c r="AB87" s="36"/>
      <c r="AC87" s="36"/>
      <c r="AD87" s="36"/>
      <c r="AE87" s="36"/>
      <c r="AF87" s="36"/>
      <c r="AG87" s="36"/>
      <c r="AH87" s="36"/>
    </row>
    <row r="88">
      <c r="A88" s="38" t="s">
        <v>38</v>
      </c>
      <c r="B88" s="38" t="s">
        <v>183</v>
      </c>
      <c r="C88" s="45" t="s">
        <v>184</v>
      </c>
      <c r="D88" s="46" t="s">
        <v>185</v>
      </c>
      <c r="E88" s="46" t="s">
        <v>186</v>
      </c>
      <c r="F88" s="34"/>
      <c r="G88" s="34"/>
      <c r="H88" s="34"/>
      <c r="I88" s="34"/>
      <c r="J88" s="38" t="s">
        <v>181</v>
      </c>
      <c r="K88" s="43"/>
      <c r="L88" s="34"/>
      <c r="M88" s="34"/>
      <c r="N88" s="34"/>
      <c r="O88" s="34"/>
      <c r="P88" s="34"/>
      <c r="Q88" s="34"/>
      <c r="R88" s="34"/>
      <c r="S88" s="34"/>
      <c r="T88" s="34"/>
      <c r="U88" s="34"/>
      <c r="V88" s="34"/>
      <c r="W88" s="34"/>
      <c r="X88" s="34"/>
      <c r="Y88" s="34"/>
      <c r="Z88" s="36"/>
      <c r="AA88" s="36"/>
      <c r="AB88" s="36"/>
      <c r="AC88" s="36"/>
      <c r="AD88" s="36"/>
      <c r="AE88" s="36"/>
      <c r="AF88" s="36"/>
      <c r="AG88" s="36"/>
      <c r="AH88" s="36"/>
    </row>
    <row r="89">
      <c r="A89" s="39" t="s">
        <v>38</v>
      </c>
      <c r="B89" s="39" t="s">
        <v>187</v>
      </c>
      <c r="C89" s="39" t="s">
        <v>188</v>
      </c>
      <c r="D89" s="39" t="str">
        <f>IFERROR(__xludf.DUMMYFUNCTION("GOOGLETRANSLATE(C89,""en"",""fr"")"),"Diabète - Hyperglycémie")</f>
        <v>Diabète - Hyperglycémie</v>
      </c>
      <c r="E89" s="39" t="str">
        <f>IFERROR(__xludf.DUMMYFUNCTION("GOOGLETRANSLATE(C89,""en"",""ht"")"),"Dyabèt - Ipèglisemi")</f>
        <v>Dyabèt - Ipèglisemi</v>
      </c>
      <c r="F89" s="34"/>
      <c r="G89" s="34"/>
      <c r="H89" s="34"/>
      <c r="I89" s="34"/>
      <c r="J89" s="39" t="s">
        <v>189</v>
      </c>
      <c r="K89" s="39" t="s">
        <v>182</v>
      </c>
      <c r="L89" s="34"/>
      <c r="M89" s="34"/>
      <c r="N89" s="34"/>
      <c r="O89" s="34"/>
      <c r="P89" s="34"/>
      <c r="Q89" s="34"/>
      <c r="R89" s="34"/>
      <c r="S89" s="34"/>
      <c r="T89" s="34"/>
      <c r="U89" s="34"/>
      <c r="V89" s="34"/>
      <c r="W89" s="34"/>
      <c r="X89" s="34"/>
      <c r="Y89" s="34"/>
      <c r="Z89" s="36"/>
      <c r="AA89" s="36"/>
      <c r="AB89" s="36"/>
      <c r="AC89" s="36"/>
      <c r="AD89" s="36"/>
      <c r="AE89" s="36"/>
      <c r="AF89" s="36"/>
      <c r="AG89" s="36"/>
      <c r="AH89" s="36"/>
    </row>
    <row r="90">
      <c r="A90" s="38" t="s">
        <v>38</v>
      </c>
      <c r="B90" s="38" t="s">
        <v>190</v>
      </c>
      <c r="C90" s="45" t="s">
        <v>191</v>
      </c>
      <c r="D90" s="46" t="s">
        <v>192</v>
      </c>
      <c r="E90" s="46" t="s">
        <v>193</v>
      </c>
      <c r="F90" s="34"/>
      <c r="G90" s="34"/>
      <c r="H90" s="34"/>
      <c r="I90" s="34"/>
      <c r="J90" s="38" t="s">
        <v>189</v>
      </c>
      <c r="K90" s="43"/>
      <c r="L90" s="34"/>
      <c r="M90" s="34"/>
      <c r="N90" s="34"/>
      <c r="O90" s="34"/>
      <c r="P90" s="34"/>
      <c r="Q90" s="34"/>
      <c r="R90" s="34"/>
      <c r="S90" s="34"/>
      <c r="T90" s="34"/>
      <c r="U90" s="34"/>
      <c r="V90" s="34"/>
      <c r="W90" s="34"/>
      <c r="X90" s="34"/>
      <c r="Y90" s="34"/>
      <c r="Z90" s="36"/>
      <c r="AA90" s="36"/>
      <c r="AB90" s="36"/>
      <c r="AC90" s="36"/>
      <c r="AD90" s="36"/>
      <c r="AE90" s="36"/>
      <c r="AF90" s="36"/>
      <c r="AG90" s="36"/>
      <c r="AH90" s="36"/>
    </row>
    <row r="91">
      <c r="A91" s="39" t="s">
        <v>38</v>
      </c>
      <c r="B91" s="39" t="s">
        <v>194</v>
      </c>
      <c r="C91" s="39" t="s">
        <v>195</v>
      </c>
      <c r="D91" s="39" t="str">
        <f>IFERROR(__xludf.DUMMYFUNCTION("GOOGLETRANSLATE(C91,""en"",""fr"")"),"Diabète - Hyperglycémie sévère")</f>
        <v>Diabète - Hyperglycémie sévère</v>
      </c>
      <c r="E91" s="39" t="str">
        <f>IFERROR(__xludf.DUMMYFUNCTION("GOOGLETRANSLATE(C91,""en"",""ht"")"),"Dyabèt - Ipèglisemi grav")</f>
        <v>Dyabèt - Ipèglisemi grav</v>
      </c>
      <c r="F91" s="34"/>
      <c r="G91" s="34"/>
      <c r="H91" s="34"/>
      <c r="I91" s="34"/>
      <c r="J91" s="39" t="s">
        <v>196</v>
      </c>
      <c r="K91" s="39" t="s">
        <v>197</v>
      </c>
      <c r="L91" s="34"/>
      <c r="M91" s="34"/>
      <c r="N91" s="34"/>
      <c r="O91" s="34"/>
      <c r="P91" s="34"/>
      <c r="Q91" s="34"/>
      <c r="R91" s="34"/>
      <c r="S91" s="34"/>
      <c r="T91" s="34"/>
      <c r="U91" s="34"/>
      <c r="V91" s="34"/>
      <c r="W91" s="34"/>
      <c r="X91" s="34"/>
      <c r="Y91" s="34"/>
      <c r="Z91" s="36"/>
      <c r="AA91" s="36"/>
      <c r="AB91" s="36"/>
      <c r="AC91" s="36"/>
      <c r="AD91" s="36"/>
      <c r="AE91" s="36"/>
      <c r="AF91" s="36"/>
      <c r="AG91" s="36"/>
      <c r="AH91" s="36"/>
    </row>
    <row r="92">
      <c r="A92" s="38" t="s">
        <v>38</v>
      </c>
      <c r="B92" s="38" t="s">
        <v>198</v>
      </c>
      <c r="C92" s="45" t="s">
        <v>199</v>
      </c>
      <c r="D92" s="46" t="s">
        <v>200</v>
      </c>
      <c r="E92" s="46" t="s">
        <v>201</v>
      </c>
      <c r="F92" s="34"/>
      <c r="G92" s="34"/>
      <c r="H92" s="34"/>
      <c r="I92" s="34"/>
      <c r="J92" s="38" t="s">
        <v>196</v>
      </c>
      <c r="K92" s="43"/>
      <c r="L92" s="34"/>
      <c r="M92" s="34"/>
      <c r="N92" s="34"/>
      <c r="O92" s="34"/>
      <c r="P92" s="34"/>
      <c r="Q92" s="34"/>
      <c r="R92" s="34"/>
      <c r="S92" s="34"/>
      <c r="T92" s="34"/>
      <c r="U92" s="34"/>
      <c r="V92" s="34"/>
      <c r="W92" s="34"/>
      <c r="X92" s="34"/>
      <c r="Y92" s="34"/>
      <c r="Z92" s="36"/>
      <c r="AA92" s="36"/>
      <c r="AB92" s="36"/>
      <c r="AC92" s="36"/>
      <c r="AD92" s="36"/>
      <c r="AE92" s="36"/>
      <c r="AF92" s="36"/>
      <c r="AG92" s="36"/>
      <c r="AH92" s="36"/>
    </row>
    <row r="93">
      <c r="A93" s="39" t="s">
        <v>38</v>
      </c>
      <c r="B93" s="39" t="s">
        <v>202</v>
      </c>
      <c r="C93" s="39" t="s">
        <v>203</v>
      </c>
      <c r="D93" s="39" t="str">
        <f>IFERROR(__xludf.DUMMYFUNCTION("GOOGLETRANSLATE(C93,""en"",""fr"")"),"Gastrite / Ulcère (Sévère)")</f>
        <v>Gastrite / Ulcère (Sévère)</v>
      </c>
      <c r="E93" s="39" t="str">
        <f>IFERROR(__xludf.DUMMYFUNCTION("GOOGLETRANSLATE(C93,""en"",""ht"")"),"Gastrit / Ilsè (Grav)")</f>
        <v>Gastrit / Ilsè (Grav)</v>
      </c>
      <c r="F93" s="34"/>
      <c r="G93" s="34"/>
      <c r="H93" s="34"/>
      <c r="I93" s="34"/>
      <c r="J93" s="39" t="s">
        <v>204</v>
      </c>
      <c r="K93" s="39" t="s">
        <v>197</v>
      </c>
      <c r="L93" s="34"/>
      <c r="M93" s="34"/>
      <c r="N93" s="34"/>
      <c r="O93" s="34"/>
      <c r="P93" s="34"/>
      <c r="Q93" s="34"/>
      <c r="R93" s="34"/>
      <c r="S93" s="34"/>
      <c r="T93" s="34"/>
      <c r="U93" s="34"/>
      <c r="V93" s="34"/>
      <c r="W93" s="34"/>
      <c r="X93" s="34"/>
      <c r="Y93" s="34"/>
      <c r="Z93" s="36"/>
      <c r="AA93" s="36"/>
      <c r="AB93" s="36"/>
      <c r="AC93" s="36"/>
      <c r="AD93" s="36"/>
      <c r="AE93" s="36"/>
      <c r="AF93" s="36"/>
      <c r="AG93" s="36"/>
      <c r="AH93" s="36"/>
    </row>
    <row r="94">
      <c r="A94" s="38" t="s">
        <v>38</v>
      </c>
      <c r="B94" s="38" t="s">
        <v>205</v>
      </c>
      <c r="C94" s="45" t="s">
        <v>206</v>
      </c>
      <c r="D94" s="46" t="s">
        <v>207</v>
      </c>
      <c r="E94" s="46" t="s">
        <v>208</v>
      </c>
      <c r="F94" s="34"/>
      <c r="G94" s="34"/>
      <c r="H94" s="34"/>
      <c r="I94" s="34"/>
      <c r="J94" s="38" t="s">
        <v>204</v>
      </c>
      <c r="K94" s="43"/>
      <c r="L94" s="34"/>
      <c r="M94" s="34"/>
      <c r="N94" s="34"/>
      <c r="O94" s="34"/>
      <c r="P94" s="34"/>
      <c r="Q94" s="34"/>
      <c r="R94" s="34"/>
      <c r="S94" s="34"/>
      <c r="T94" s="34"/>
      <c r="U94" s="34"/>
      <c r="V94" s="34"/>
      <c r="W94" s="34"/>
      <c r="X94" s="34"/>
      <c r="Y94" s="34"/>
      <c r="Z94" s="36"/>
      <c r="AA94" s="36"/>
      <c r="AB94" s="36"/>
      <c r="AC94" s="36"/>
      <c r="AD94" s="36"/>
      <c r="AE94" s="36"/>
      <c r="AF94" s="36"/>
      <c r="AG94" s="36"/>
      <c r="AH94" s="36"/>
    </row>
    <row r="95">
      <c r="A95" s="39" t="s">
        <v>38</v>
      </c>
      <c r="B95" s="39" t="s">
        <v>209</v>
      </c>
      <c r="C95" s="39" t="s">
        <v>210</v>
      </c>
      <c r="D95" s="39" t="str">
        <f>IFERROR(__xludf.DUMMYFUNCTION("GOOGLETRANSLATE(C95,""en"",""fr"")"),"Gastrite / Ulcère")</f>
        <v>Gastrite / Ulcère</v>
      </c>
      <c r="E95" s="39" t="str">
        <f>IFERROR(__xludf.DUMMYFUNCTION("GOOGLETRANSLATE(C95,""en"",""ht"")"),"Gastrit / Ilsè")</f>
        <v>Gastrit / Ilsè</v>
      </c>
      <c r="F95" s="34"/>
      <c r="G95" s="34"/>
      <c r="H95" s="34"/>
      <c r="I95" s="34"/>
      <c r="J95" s="39" t="s">
        <v>211</v>
      </c>
      <c r="K95" s="39" t="s">
        <v>182</v>
      </c>
      <c r="L95" s="34"/>
      <c r="M95" s="34"/>
      <c r="N95" s="34"/>
      <c r="O95" s="34"/>
      <c r="P95" s="34"/>
      <c r="Q95" s="34"/>
      <c r="R95" s="34"/>
      <c r="S95" s="34"/>
      <c r="T95" s="34"/>
      <c r="U95" s="34"/>
      <c r="V95" s="34"/>
      <c r="W95" s="34"/>
      <c r="X95" s="34"/>
      <c r="Y95" s="34"/>
      <c r="Z95" s="36"/>
      <c r="AA95" s="36"/>
      <c r="AB95" s="36"/>
      <c r="AC95" s="36"/>
      <c r="AD95" s="36"/>
      <c r="AE95" s="36"/>
      <c r="AF95" s="36"/>
      <c r="AG95" s="36"/>
      <c r="AH95" s="36"/>
    </row>
    <row r="96">
      <c r="A96" s="38" t="s">
        <v>38</v>
      </c>
      <c r="B96" s="38" t="s">
        <v>212</v>
      </c>
      <c r="C96" s="45" t="s">
        <v>213</v>
      </c>
      <c r="D96" s="46" t="s">
        <v>214</v>
      </c>
      <c r="E96" s="46" t="s">
        <v>215</v>
      </c>
      <c r="F96" s="34"/>
      <c r="G96" s="34"/>
      <c r="H96" s="34"/>
      <c r="I96" s="34"/>
      <c r="J96" s="38" t="s">
        <v>211</v>
      </c>
      <c r="K96" s="43"/>
      <c r="L96" s="34"/>
      <c r="M96" s="34"/>
      <c r="N96" s="34"/>
      <c r="O96" s="34"/>
      <c r="P96" s="34"/>
      <c r="Q96" s="34"/>
      <c r="R96" s="34"/>
      <c r="S96" s="34"/>
      <c r="T96" s="34"/>
      <c r="U96" s="34"/>
      <c r="V96" s="34"/>
      <c r="W96" s="34"/>
      <c r="X96" s="34"/>
      <c r="Y96" s="34"/>
      <c r="Z96" s="36"/>
      <c r="AA96" s="36"/>
      <c r="AB96" s="36"/>
      <c r="AC96" s="36"/>
      <c r="AD96" s="36"/>
      <c r="AE96" s="36"/>
      <c r="AF96" s="36"/>
      <c r="AG96" s="36"/>
      <c r="AH96" s="36"/>
    </row>
    <row r="97">
      <c r="A97" s="39" t="s">
        <v>38</v>
      </c>
      <c r="B97" s="39" t="s">
        <v>216</v>
      </c>
      <c r="C97" s="39" t="s">
        <v>217</v>
      </c>
      <c r="D97" s="39" t="str">
        <f>IFERROR(__xludf.DUMMYFUNCTION("GOOGLETRANSLATE(C97,""en"",""fr"")"),"Risque de choléra")</f>
        <v>Risque de choléra</v>
      </c>
      <c r="E97" s="39" t="str">
        <f>IFERROR(__xludf.DUMMYFUNCTION("GOOGLETRANSLATE(C97,""en"",""ht"")"),"Risk pou pran kolera")</f>
        <v>Risk pou pran kolera</v>
      </c>
      <c r="F97" s="34"/>
      <c r="G97" s="34"/>
      <c r="H97" s="34"/>
      <c r="I97" s="34"/>
      <c r="J97" s="39" t="s">
        <v>218</v>
      </c>
      <c r="K97" s="39" t="s">
        <v>197</v>
      </c>
      <c r="L97" s="34"/>
      <c r="M97" s="34"/>
      <c r="N97" s="34"/>
      <c r="O97" s="34"/>
      <c r="P97" s="34"/>
      <c r="Q97" s="34"/>
      <c r="R97" s="34"/>
      <c r="S97" s="34"/>
      <c r="T97" s="34"/>
      <c r="U97" s="34"/>
      <c r="V97" s="34"/>
      <c r="W97" s="34"/>
      <c r="X97" s="34"/>
      <c r="Y97" s="34"/>
      <c r="Z97" s="36"/>
      <c r="AA97" s="36"/>
      <c r="AB97" s="36"/>
      <c r="AC97" s="36"/>
      <c r="AD97" s="36"/>
      <c r="AE97" s="36"/>
      <c r="AF97" s="36"/>
      <c r="AG97" s="36"/>
      <c r="AH97" s="36"/>
    </row>
    <row r="98">
      <c r="A98" s="38" t="s">
        <v>38</v>
      </c>
      <c r="B98" s="38" t="s">
        <v>219</v>
      </c>
      <c r="C98" s="45" t="s">
        <v>220</v>
      </c>
      <c r="D98" s="46" t="s">
        <v>221</v>
      </c>
      <c r="E98" s="46" t="s">
        <v>222</v>
      </c>
      <c r="F98" s="34"/>
      <c r="G98" s="34"/>
      <c r="H98" s="34"/>
      <c r="I98" s="34"/>
      <c r="J98" s="38" t="s">
        <v>218</v>
      </c>
      <c r="K98" s="43"/>
      <c r="L98" s="34"/>
      <c r="M98" s="34"/>
      <c r="N98" s="34"/>
      <c r="O98" s="34"/>
      <c r="P98" s="34"/>
      <c r="Q98" s="34"/>
      <c r="R98" s="34"/>
      <c r="S98" s="34"/>
      <c r="T98" s="34"/>
      <c r="U98" s="34"/>
      <c r="V98" s="34"/>
      <c r="W98" s="34"/>
      <c r="X98" s="34"/>
      <c r="Y98" s="34"/>
      <c r="Z98" s="36"/>
      <c r="AA98" s="36"/>
      <c r="AB98" s="36"/>
      <c r="AC98" s="36"/>
      <c r="AD98" s="36"/>
      <c r="AE98" s="36"/>
      <c r="AF98" s="36"/>
      <c r="AG98" s="36"/>
      <c r="AH98" s="36"/>
    </row>
    <row r="99">
      <c r="A99" s="39" t="s">
        <v>38</v>
      </c>
      <c r="B99" s="39" t="s">
        <v>223</v>
      </c>
      <c r="C99" s="39" t="s">
        <v>224</v>
      </c>
      <c r="D99" s="39" t="str">
        <f>IFERROR(__xludf.DUMMYFUNCTION("GOOGLETRANSLATE(C99,""en"",""fr"")"),"Diarrhée aiguë")</f>
        <v>Diarrhée aiguë</v>
      </c>
      <c r="E99" s="39" t="str">
        <f>IFERROR(__xludf.DUMMYFUNCTION("GOOGLETRANSLATE(C99,""en"",""ht"")"),"Dyare egi")</f>
        <v>Dyare egi</v>
      </c>
      <c r="F99" s="34"/>
      <c r="G99" s="34"/>
      <c r="H99" s="34"/>
      <c r="I99" s="34"/>
      <c r="J99" s="39" t="s">
        <v>225</v>
      </c>
      <c r="K99" s="39" t="s">
        <v>182</v>
      </c>
      <c r="L99" s="34"/>
      <c r="M99" s="34"/>
      <c r="N99" s="34"/>
      <c r="O99" s="34"/>
      <c r="P99" s="34"/>
      <c r="Q99" s="34"/>
      <c r="R99" s="34"/>
      <c r="S99" s="34"/>
      <c r="T99" s="34"/>
      <c r="U99" s="34"/>
      <c r="V99" s="34"/>
      <c r="W99" s="34"/>
      <c r="X99" s="34"/>
      <c r="Y99" s="34"/>
      <c r="Z99" s="36"/>
      <c r="AA99" s="36"/>
      <c r="AB99" s="36"/>
      <c r="AC99" s="36"/>
      <c r="AD99" s="36"/>
      <c r="AE99" s="36"/>
      <c r="AF99" s="36"/>
      <c r="AG99" s="36"/>
      <c r="AH99" s="36"/>
    </row>
    <row r="100">
      <c r="A100" s="38" t="s">
        <v>38</v>
      </c>
      <c r="B100" s="38" t="s">
        <v>226</v>
      </c>
      <c r="C100" s="45" t="s">
        <v>227</v>
      </c>
      <c r="D100" s="46" t="s">
        <v>228</v>
      </c>
      <c r="E100" s="46" t="s">
        <v>229</v>
      </c>
      <c r="F100" s="34"/>
      <c r="G100" s="34"/>
      <c r="H100" s="34"/>
      <c r="I100" s="34"/>
      <c r="J100" s="38" t="s">
        <v>225</v>
      </c>
      <c r="K100" s="43"/>
      <c r="L100" s="34"/>
      <c r="M100" s="34"/>
      <c r="N100" s="34"/>
      <c r="O100" s="34"/>
      <c r="P100" s="34"/>
      <c r="Q100" s="34"/>
      <c r="R100" s="34"/>
      <c r="S100" s="34"/>
      <c r="T100" s="34"/>
      <c r="U100" s="34"/>
      <c r="V100" s="34"/>
      <c r="W100" s="34"/>
      <c r="X100" s="34"/>
      <c r="Y100" s="34"/>
      <c r="Z100" s="36"/>
      <c r="AA100" s="36"/>
      <c r="AB100" s="36"/>
      <c r="AC100" s="36"/>
      <c r="AD100" s="36"/>
      <c r="AE100" s="36"/>
      <c r="AF100" s="36"/>
      <c r="AG100" s="36"/>
      <c r="AH100" s="36"/>
    </row>
    <row r="101">
      <c r="A101" s="39" t="s">
        <v>38</v>
      </c>
      <c r="B101" s="39" t="s">
        <v>230</v>
      </c>
      <c r="C101" s="39" t="s">
        <v>231</v>
      </c>
      <c r="D101" s="39" t="str">
        <f>IFERROR(__xludf.DUMMYFUNCTION("GOOGLETRANSLATE(C101,""en"",""fr"")"),"Infection possible à amibes ou à Giardia")</f>
        <v>Infection possible à amibes ou à Giardia</v>
      </c>
      <c r="E101" s="39" t="str">
        <f>IFERROR(__xludf.DUMMYFUNCTION("GOOGLETRANSLATE(C101,""en"",""ht"")"),"Enfeksyon posib ak Ameba oswa Giardia")</f>
        <v>Enfeksyon posib ak Ameba oswa Giardia</v>
      </c>
      <c r="F101" s="34"/>
      <c r="G101" s="34"/>
      <c r="H101" s="34"/>
      <c r="I101" s="34"/>
      <c r="J101" s="39" t="s">
        <v>232</v>
      </c>
      <c r="K101" s="39" t="s">
        <v>182</v>
      </c>
      <c r="L101" s="34"/>
      <c r="M101" s="34"/>
      <c r="N101" s="34"/>
      <c r="O101" s="34"/>
      <c r="P101" s="34"/>
      <c r="Q101" s="34"/>
      <c r="R101" s="34"/>
      <c r="S101" s="34"/>
      <c r="T101" s="34"/>
      <c r="U101" s="34"/>
      <c r="V101" s="34"/>
      <c r="W101" s="34"/>
      <c r="X101" s="34"/>
      <c r="Y101" s="34"/>
      <c r="Z101" s="36"/>
      <c r="AA101" s="36"/>
      <c r="AB101" s="36"/>
      <c r="AC101" s="36"/>
      <c r="AD101" s="36"/>
      <c r="AE101" s="36"/>
      <c r="AF101" s="36"/>
      <c r="AG101" s="36"/>
      <c r="AH101" s="36"/>
    </row>
    <row r="102">
      <c r="A102" s="38" t="s">
        <v>38</v>
      </c>
      <c r="B102" s="38" t="s">
        <v>233</v>
      </c>
      <c r="C102" s="45" t="s">
        <v>234</v>
      </c>
      <c r="D102" s="46" t="s">
        <v>235</v>
      </c>
      <c r="E102" s="46" t="s">
        <v>236</v>
      </c>
      <c r="F102" s="34"/>
      <c r="G102" s="34"/>
      <c r="H102" s="34"/>
      <c r="I102" s="34"/>
      <c r="J102" s="38" t="s">
        <v>232</v>
      </c>
      <c r="K102" s="43"/>
      <c r="L102" s="34"/>
      <c r="M102" s="34"/>
      <c r="N102" s="34"/>
      <c r="O102" s="34"/>
      <c r="P102" s="34"/>
      <c r="Q102" s="34"/>
      <c r="R102" s="34"/>
      <c r="S102" s="34"/>
      <c r="T102" s="34"/>
      <c r="U102" s="34"/>
      <c r="V102" s="34"/>
      <c r="W102" s="34"/>
      <c r="X102" s="34"/>
      <c r="Y102" s="34"/>
      <c r="Z102" s="36"/>
      <c r="AA102" s="36"/>
      <c r="AB102" s="36"/>
      <c r="AC102" s="36"/>
      <c r="AD102" s="36"/>
      <c r="AE102" s="36"/>
      <c r="AF102" s="36"/>
      <c r="AG102" s="36"/>
      <c r="AH102" s="36"/>
    </row>
    <row r="103">
      <c r="A103" s="39" t="s">
        <v>38</v>
      </c>
      <c r="B103" s="39" t="s">
        <v>237</v>
      </c>
      <c r="C103" s="39" t="s">
        <v>238</v>
      </c>
      <c r="D103" s="39" t="str">
        <f>IFERROR(__xludf.DUMMYFUNCTION("GOOGLETRANSLATE(C103,""en"",""fr"")"),"Risque d'appendicite/cholécystite")</f>
        <v>Risque d'appendicite/cholécystite</v>
      </c>
      <c r="E103" s="39" t="str">
        <f>IFERROR(__xludf.DUMMYFUNCTION("GOOGLETRANSLATE(C103,""en"",""ht"")"),"Risk pou Apendisit / Kolesistit")</f>
        <v>Risk pou Apendisit / Kolesistit</v>
      </c>
      <c r="F103" s="34"/>
      <c r="G103" s="34"/>
      <c r="H103" s="34"/>
      <c r="I103" s="34"/>
      <c r="J103" s="39" t="s">
        <v>239</v>
      </c>
      <c r="K103" s="39" t="s">
        <v>197</v>
      </c>
      <c r="L103" s="34"/>
      <c r="M103" s="34"/>
      <c r="N103" s="34"/>
      <c r="O103" s="34"/>
      <c r="P103" s="34"/>
      <c r="Q103" s="34"/>
      <c r="R103" s="34"/>
      <c r="S103" s="34"/>
      <c r="T103" s="34"/>
      <c r="U103" s="34"/>
      <c r="V103" s="34"/>
      <c r="W103" s="34"/>
      <c r="X103" s="34"/>
      <c r="Y103" s="34"/>
      <c r="Z103" s="36"/>
      <c r="AA103" s="36"/>
      <c r="AB103" s="36"/>
      <c r="AC103" s="36"/>
      <c r="AD103" s="36"/>
      <c r="AE103" s="36"/>
      <c r="AF103" s="36"/>
      <c r="AG103" s="36"/>
      <c r="AH103" s="36"/>
    </row>
    <row r="104">
      <c r="A104" s="38" t="s">
        <v>38</v>
      </c>
      <c r="B104" s="38" t="s">
        <v>240</v>
      </c>
      <c r="C104" s="45" t="s">
        <v>241</v>
      </c>
      <c r="D104" s="46" t="s">
        <v>242</v>
      </c>
      <c r="E104" s="46" t="s">
        <v>243</v>
      </c>
      <c r="F104" s="34"/>
      <c r="G104" s="34"/>
      <c r="H104" s="34"/>
      <c r="I104" s="34"/>
      <c r="J104" s="38" t="s">
        <v>239</v>
      </c>
      <c r="K104" s="43"/>
      <c r="L104" s="34"/>
      <c r="M104" s="34"/>
      <c r="N104" s="34"/>
      <c r="O104" s="34"/>
      <c r="P104" s="34"/>
      <c r="Q104" s="34"/>
      <c r="R104" s="34"/>
      <c r="S104" s="34"/>
      <c r="T104" s="34"/>
      <c r="U104" s="34"/>
      <c r="V104" s="34"/>
      <c r="W104" s="34"/>
      <c r="X104" s="34"/>
      <c r="Y104" s="34"/>
      <c r="Z104" s="36"/>
      <c r="AA104" s="36"/>
      <c r="AB104" s="36"/>
      <c r="AC104" s="36"/>
      <c r="AD104" s="36"/>
      <c r="AE104" s="36"/>
      <c r="AF104" s="36"/>
      <c r="AG104" s="36"/>
      <c r="AH104" s="36"/>
    </row>
    <row r="105">
      <c r="A105" s="39" t="s">
        <v>38</v>
      </c>
      <c r="B105" s="39" t="s">
        <v>244</v>
      </c>
      <c r="C105" s="39" t="s">
        <v>245</v>
      </c>
      <c r="D105" s="39" t="str">
        <f>IFERROR(__xludf.DUMMYFUNCTION("GOOGLETRANSLATE(C105,""en"",""fr"")"),"Paludisme positif")</f>
        <v>Paludisme positif</v>
      </c>
      <c r="E105" s="39" t="str">
        <f>IFERROR(__xludf.DUMMYFUNCTION("GOOGLETRANSLATE(C105,""en"",""ht"")"),"Malarya pozitif")</f>
        <v>Malarya pozitif</v>
      </c>
      <c r="F105" s="34"/>
      <c r="G105" s="34"/>
      <c r="H105" s="34"/>
      <c r="I105" s="34"/>
      <c r="J105" s="46" t="s">
        <v>246</v>
      </c>
      <c r="K105" s="39" t="s">
        <v>197</v>
      </c>
      <c r="L105" s="34"/>
      <c r="M105" s="34"/>
      <c r="N105" s="34"/>
      <c r="O105" s="34"/>
      <c r="P105" s="34"/>
      <c r="Q105" s="34"/>
      <c r="R105" s="34"/>
      <c r="S105" s="34"/>
      <c r="T105" s="34"/>
      <c r="U105" s="34"/>
      <c r="V105" s="34"/>
      <c r="W105" s="34"/>
      <c r="X105" s="34"/>
      <c r="Y105" s="34"/>
      <c r="Z105" s="36"/>
      <c r="AA105" s="36"/>
      <c r="AB105" s="36"/>
      <c r="AC105" s="36"/>
      <c r="AD105" s="36"/>
      <c r="AE105" s="36"/>
      <c r="AF105" s="36"/>
      <c r="AG105" s="36"/>
      <c r="AH105" s="36"/>
    </row>
    <row r="106">
      <c r="A106" s="38" t="s">
        <v>38</v>
      </c>
      <c r="B106" s="38" t="s">
        <v>247</v>
      </c>
      <c r="C106" s="45" t="s">
        <v>248</v>
      </c>
      <c r="D106" s="46" t="s">
        <v>249</v>
      </c>
      <c r="E106" s="46" t="s">
        <v>250</v>
      </c>
      <c r="F106" s="34"/>
      <c r="G106" s="34"/>
      <c r="H106" s="34"/>
      <c r="I106" s="34"/>
      <c r="J106" s="45" t="s">
        <v>246</v>
      </c>
      <c r="K106" s="43"/>
      <c r="L106" s="34"/>
      <c r="M106" s="34"/>
      <c r="N106" s="34"/>
      <c r="O106" s="34"/>
      <c r="P106" s="34"/>
      <c r="Q106" s="34"/>
      <c r="R106" s="34"/>
      <c r="S106" s="34"/>
      <c r="T106" s="34"/>
      <c r="U106" s="34"/>
      <c r="V106" s="34"/>
      <c r="W106" s="34"/>
      <c r="X106" s="34"/>
      <c r="Y106" s="34"/>
      <c r="Z106" s="36"/>
      <c r="AA106" s="36"/>
      <c r="AB106" s="36"/>
      <c r="AC106" s="36"/>
      <c r="AD106" s="36"/>
      <c r="AE106" s="36"/>
      <c r="AF106" s="36"/>
      <c r="AG106" s="36"/>
      <c r="AH106" s="36"/>
    </row>
    <row r="107">
      <c r="A107" s="39" t="s">
        <v>38</v>
      </c>
      <c r="B107" s="39" t="s">
        <v>251</v>
      </c>
      <c r="C107" s="39" t="s">
        <v>252</v>
      </c>
      <c r="D107" s="39" t="str">
        <f>IFERROR(__xludf.DUMMYFUNCTION("GOOGLETRANSLATE(C107,""en"",""fr"")"),"Test négatif au paludisme")</f>
        <v>Test négatif au paludisme</v>
      </c>
      <c r="E107" s="39" t="str">
        <f>IFERROR(__xludf.DUMMYFUNCTION("GOOGLETRANSLATE(C107,""en"",""ht"")"),"Malarya Negatif")</f>
        <v>Malarya Negatif</v>
      </c>
      <c r="F107" s="34"/>
      <c r="G107" s="34"/>
      <c r="H107" s="34"/>
      <c r="I107" s="34"/>
      <c r="J107" s="45" t="s">
        <v>253</v>
      </c>
      <c r="K107" s="39" t="s">
        <v>182</v>
      </c>
      <c r="L107" s="34"/>
      <c r="M107" s="34"/>
      <c r="N107" s="34"/>
      <c r="O107" s="34"/>
      <c r="P107" s="34"/>
      <c r="Q107" s="34"/>
      <c r="R107" s="34"/>
      <c r="S107" s="34"/>
      <c r="T107" s="34"/>
      <c r="U107" s="34"/>
      <c r="V107" s="34"/>
      <c r="W107" s="34"/>
      <c r="X107" s="34"/>
      <c r="Y107" s="34"/>
      <c r="Z107" s="36"/>
      <c r="AA107" s="36"/>
      <c r="AB107" s="36"/>
      <c r="AC107" s="36"/>
      <c r="AD107" s="36"/>
      <c r="AE107" s="36"/>
      <c r="AF107" s="36"/>
      <c r="AG107" s="36"/>
      <c r="AH107" s="36"/>
    </row>
    <row r="108">
      <c r="A108" s="38" t="s">
        <v>38</v>
      </c>
      <c r="B108" s="38" t="s">
        <v>254</v>
      </c>
      <c r="C108" s="45" t="s">
        <v>255</v>
      </c>
      <c r="D108" s="46" t="s">
        <v>256</v>
      </c>
      <c r="E108" s="46" t="s">
        <v>257</v>
      </c>
      <c r="F108" s="34"/>
      <c r="G108" s="34"/>
      <c r="H108" s="34"/>
      <c r="I108" s="34"/>
      <c r="J108" s="45" t="s">
        <v>253</v>
      </c>
      <c r="K108" s="43"/>
      <c r="L108" s="34"/>
      <c r="M108" s="34"/>
      <c r="N108" s="34"/>
      <c r="O108" s="34"/>
      <c r="P108" s="34"/>
      <c r="Q108" s="34"/>
      <c r="R108" s="34"/>
      <c r="S108" s="34"/>
      <c r="T108" s="34"/>
      <c r="U108" s="34"/>
      <c r="V108" s="34"/>
      <c r="W108" s="34"/>
      <c r="X108" s="34"/>
      <c r="Y108" s="34"/>
      <c r="Z108" s="36"/>
      <c r="AA108" s="36"/>
      <c r="AB108" s="36"/>
      <c r="AC108" s="36"/>
      <c r="AD108" s="36"/>
      <c r="AE108" s="36"/>
      <c r="AF108" s="36"/>
      <c r="AG108" s="36"/>
      <c r="AH108" s="36"/>
    </row>
    <row r="109">
      <c r="A109" s="39" t="s">
        <v>38</v>
      </c>
      <c r="B109" s="39" t="s">
        <v>258</v>
      </c>
      <c r="C109" s="39" t="s">
        <v>259</v>
      </c>
      <c r="D109" s="39" t="str">
        <f>IFERROR(__xludf.DUMMYFUNCTION("GOOGLETRANSLATE(C109,""en"",""fr"")"),"Urgence hypertensive")</f>
        <v>Urgence hypertensive</v>
      </c>
      <c r="E109" s="39" t="str">
        <f>IFERROR(__xludf.DUMMYFUNCTION("GOOGLETRANSLATE(C109,""en"",""ht"")"),"Ijans Ipertansif")</f>
        <v>Ijans Ipertansif</v>
      </c>
      <c r="F109" s="34"/>
      <c r="G109" s="34"/>
      <c r="H109" s="34"/>
      <c r="I109" s="34"/>
      <c r="J109" s="39" t="s">
        <v>260</v>
      </c>
      <c r="K109" s="39" t="s">
        <v>197</v>
      </c>
      <c r="L109" s="34"/>
      <c r="M109" s="34"/>
      <c r="N109" s="34"/>
      <c r="O109" s="34"/>
      <c r="P109" s="34"/>
      <c r="Q109" s="34"/>
      <c r="R109" s="34"/>
      <c r="S109" s="34"/>
      <c r="T109" s="34"/>
      <c r="U109" s="34"/>
      <c r="V109" s="34"/>
      <c r="W109" s="34"/>
      <c r="X109" s="34"/>
      <c r="Y109" s="34"/>
      <c r="Z109" s="36"/>
      <c r="AA109" s="36"/>
      <c r="AB109" s="36"/>
      <c r="AC109" s="36"/>
      <c r="AD109" s="36"/>
      <c r="AE109" s="36"/>
      <c r="AF109" s="36"/>
      <c r="AG109" s="36"/>
      <c r="AH109" s="36"/>
    </row>
    <row r="110">
      <c r="A110" s="38" t="s">
        <v>38</v>
      </c>
      <c r="B110" s="38" t="s">
        <v>261</v>
      </c>
      <c r="C110" s="45" t="s">
        <v>262</v>
      </c>
      <c r="D110" s="46" t="s">
        <v>263</v>
      </c>
      <c r="E110" s="46" t="s">
        <v>264</v>
      </c>
      <c r="F110" s="34"/>
      <c r="G110" s="34"/>
      <c r="H110" s="34"/>
      <c r="I110" s="34"/>
      <c r="J110" s="38" t="s">
        <v>260</v>
      </c>
      <c r="K110" s="43"/>
      <c r="L110" s="34"/>
      <c r="M110" s="34"/>
      <c r="N110" s="34"/>
      <c r="O110" s="34"/>
      <c r="P110" s="34"/>
      <c r="Q110" s="34"/>
      <c r="R110" s="34"/>
      <c r="S110" s="34"/>
      <c r="T110" s="34"/>
      <c r="U110" s="34"/>
      <c r="V110" s="34"/>
      <c r="W110" s="34"/>
      <c r="X110" s="34"/>
      <c r="Y110" s="34"/>
      <c r="Z110" s="36"/>
      <c r="AA110" s="36"/>
      <c r="AB110" s="36"/>
      <c r="AC110" s="36"/>
      <c r="AD110" s="36"/>
      <c r="AE110" s="36"/>
      <c r="AF110" s="36"/>
      <c r="AG110" s="36"/>
      <c r="AH110" s="36"/>
    </row>
    <row r="111">
      <c r="A111" s="39" t="s">
        <v>38</v>
      </c>
      <c r="B111" s="39" t="s">
        <v>265</v>
      </c>
      <c r="C111" s="39" t="s">
        <v>266</v>
      </c>
      <c r="D111" s="39" t="str">
        <f>IFERROR(__xludf.DUMMYFUNCTION("GOOGLETRANSLATE(C111,""en"",""fr"")"),"Hypertension de grade 1")</f>
        <v>Hypertension de grade 1</v>
      </c>
      <c r="E111" s="39" t="str">
        <f>IFERROR(__xludf.DUMMYFUNCTION("GOOGLETRANSLATE(C111,""en"",""ht"")"),"Tansyon wo nivo 1")</f>
        <v>Tansyon wo nivo 1</v>
      </c>
      <c r="F111" s="34"/>
      <c r="G111" s="34"/>
      <c r="H111" s="34"/>
      <c r="I111" s="34"/>
      <c r="J111" s="39" t="s">
        <v>267</v>
      </c>
      <c r="K111" s="39" t="s">
        <v>182</v>
      </c>
      <c r="L111" s="34"/>
      <c r="M111" s="34"/>
      <c r="N111" s="34"/>
      <c r="O111" s="34"/>
      <c r="P111" s="34"/>
      <c r="Q111" s="34"/>
      <c r="R111" s="34"/>
      <c r="S111" s="34"/>
      <c r="T111" s="34"/>
      <c r="U111" s="34"/>
      <c r="V111" s="34"/>
      <c r="W111" s="34"/>
      <c r="X111" s="34"/>
      <c r="Y111" s="34"/>
      <c r="Z111" s="36"/>
      <c r="AA111" s="36"/>
      <c r="AB111" s="36"/>
      <c r="AC111" s="36"/>
      <c r="AD111" s="36"/>
      <c r="AE111" s="36"/>
      <c r="AF111" s="36"/>
      <c r="AG111" s="36"/>
      <c r="AH111" s="36"/>
    </row>
    <row r="112">
      <c r="A112" s="38" t="s">
        <v>38</v>
      </c>
      <c r="B112" s="38" t="s">
        <v>268</v>
      </c>
      <c r="C112" s="45" t="s">
        <v>269</v>
      </c>
      <c r="D112" s="46" t="s">
        <v>270</v>
      </c>
      <c r="E112" s="46" t="s">
        <v>271</v>
      </c>
      <c r="F112" s="34"/>
      <c r="G112" s="34"/>
      <c r="H112" s="34"/>
      <c r="I112" s="34"/>
      <c r="J112" s="38" t="s">
        <v>267</v>
      </c>
      <c r="K112" s="43"/>
      <c r="L112" s="34"/>
      <c r="M112" s="34"/>
      <c r="N112" s="34"/>
      <c r="O112" s="34"/>
      <c r="P112" s="34"/>
      <c r="Q112" s="34"/>
      <c r="R112" s="34"/>
      <c r="S112" s="34"/>
      <c r="T112" s="34"/>
      <c r="U112" s="34"/>
      <c r="V112" s="34"/>
      <c r="W112" s="34"/>
      <c r="X112" s="34"/>
      <c r="Y112" s="34"/>
      <c r="Z112" s="36"/>
      <c r="AA112" s="36"/>
      <c r="AB112" s="36"/>
      <c r="AC112" s="36"/>
      <c r="AD112" s="36"/>
      <c r="AE112" s="36"/>
      <c r="AF112" s="36"/>
      <c r="AG112" s="36"/>
      <c r="AH112" s="36"/>
    </row>
    <row r="113">
      <c r="A113" s="39" t="s">
        <v>38</v>
      </c>
      <c r="B113" s="39" t="s">
        <v>272</v>
      </c>
      <c r="C113" s="39" t="s">
        <v>273</v>
      </c>
      <c r="D113" s="39" t="str">
        <f>IFERROR(__xludf.DUMMYFUNCTION("GOOGLETRANSLATE(C113,""en"",""fr"")"),"Hypertension de grade 2")</f>
        <v>Hypertension de grade 2</v>
      </c>
      <c r="E113" s="39" t="str">
        <f>IFERROR(__xludf.DUMMYFUNCTION("GOOGLETRANSLATE(C113,""en"",""ht"")"),"Tansyon wo nivo 2")</f>
        <v>Tansyon wo nivo 2</v>
      </c>
      <c r="F113" s="34"/>
      <c r="G113" s="34"/>
      <c r="H113" s="34"/>
      <c r="I113" s="34"/>
      <c r="J113" s="39" t="s">
        <v>274</v>
      </c>
      <c r="K113" s="39" t="s">
        <v>182</v>
      </c>
      <c r="L113" s="34"/>
      <c r="M113" s="34"/>
      <c r="N113" s="34"/>
      <c r="O113" s="34"/>
      <c r="P113" s="34"/>
      <c r="Q113" s="34"/>
      <c r="R113" s="34"/>
      <c r="S113" s="34"/>
      <c r="T113" s="34"/>
      <c r="U113" s="34"/>
      <c r="V113" s="34"/>
      <c r="W113" s="34"/>
      <c r="X113" s="34"/>
      <c r="Y113" s="34"/>
      <c r="Z113" s="36"/>
      <c r="AA113" s="36"/>
      <c r="AB113" s="36"/>
      <c r="AC113" s="36"/>
      <c r="AD113" s="36"/>
      <c r="AE113" s="36"/>
      <c r="AF113" s="36"/>
      <c r="AG113" s="36"/>
      <c r="AH113" s="36"/>
    </row>
    <row r="114">
      <c r="A114" s="38" t="s">
        <v>38</v>
      </c>
      <c r="B114" s="38" t="s">
        <v>275</v>
      </c>
      <c r="C114" s="45" t="s">
        <v>276</v>
      </c>
      <c r="D114" s="46" t="s">
        <v>277</v>
      </c>
      <c r="E114" s="46" t="s">
        <v>278</v>
      </c>
      <c r="F114" s="34"/>
      <c r="G114" s="34"/>
      <c r="H114" s="34"/>
      <c r="I114" s="34"/>
      <c r="J114" s="38" t="s">
        <v>274</v>
      </c>
      <c r="K114" s="43"/>
      <c r="L114" s="34"/>
      <c r="M114" s="34"/>
      <c r="N114" s="34"/>
      <c r="O114" s="34"/>
      <c r="P114" s="34"/>
      <c r="Q114" s="34"/>
      <c r="R114" s="34"/>
      <c r="S114" s="34"/>
      <c r="T114" s="34"/>
      <c r="U114" s="34"/>
      <c r="V114" s="34"/>
      <c r="W114" s="34"/>
      <c r="X114" s="34"/>
      <c r="Y114" s="34"/>
      <c r="Z114" s="36"/>
      <c r="AA114" s="36"/>
      <c r="AB114" s="36"/>
      <c r="AC114" s="36"/>
      <c r="AD114" s="36"/>
      <c r="AE114" s="36"/>
      <c r="AF114" s="36"/>
      <c r="AG114" s="36"/>
      <c r="AH114" s="36"/>
    </row>
    <row r="115">
      <c r="A115" s="39" t="s">
        <v>38</v>
      </c>
      <c r="B115" s="39" t="s">
        <v>279</v>
      </c>
      <c r="C115" s="39" t="s">
        <v>280</v>
      </c>
      <c r="D115" s="39" t="str">
        <f>IFERROR(__xludf.DUMMYFUNCTION("GOOGLETRANSLATE(C115,""en"",""fr"")"),"Hypertension de grade 3")</f>
        <v>Hypertension de grade 3</v>
      </c>
      <c r="E115" s="39" t="str">
        <f>IFERROR(__xludf.DUMMYFUNCTION("GOOGLETRANSLATE(C115,""en"",""ht"")"),"Tansyon wo nivo 3")</f>
        <v>Tansyon wo nivo 3</v>
      </c>
      <c r="F115" s="34"/>
      <c r="G115" s="34"/>
      <c r="H115" s="34"/>
      <c r="I115" s="34"/>
      <c r="J115" s="39" t="s">
        <v>281</v>
      </c>
      <c r="K115" s="39" t="s">
        <v>197</v>
      </c>
      <c r="L115" s="34"/>
      <c r="M115" s="34"/>
      <c r="N115" s="34"/>
      <c r="O115" s="34"/>
      <c r="P115" s="34"/>
      <c r="Q115" s="34"/>
      <c r="R115" s="34"/>
      <c r="S115" s="34"/>
      <c r="T115" s="34"/>
      <c r="U115" s="34"/>
      <c r="V115" s="34"/>
      <c r="W115" s="34"/>
      <c r="X115" s="34"/>
      <c r="Y115" s="34"/>
      <c r="Z115" s="36"/>
      <c r="AA115" s="36"/>
      <c r="AB115" s="36"/>
      <c r="AC115" s="36"/>
      <c r="AD115" s="36"/>
      <c r="AE115" s="36"/>
      <c r="AF115" s="36"/>
      <c r="AG115" s="36"/>
      <c r="AH115" s="36"/>
    </row>
    <row r="116">
      <c r="A116" s="38" t="s">
        <v>38</v>
      </c>
      <c r="B116" s="38" t="s">
        <v>282</v>
      </c>
      <c r="C116" s="45" t="s">
        <v>283</v>
      </c>
      <c r="D116" s="46" t="s">
        <v>284</v>
      </c>
      <c r="E116" s="46" t="s">
        <v>285</v>
      </c>
      <c r="F116" s="34"/>
      <c r="G116" s="34"/>
      <c r="H116" s="34"/>
      <c r="I116" s="34"/>
      <c r="J116" s="38" t="s">
        <v>281</v>
      </c>
      <c r="K116" s="43"/>
      <c r="L116" s="34"/>
      <c r="M116" s="34"/>
      <c r="N116" s="34"/>
      <c r="O116" s="34"/>
      <c r="P116" s="34"/>
      <c r="Q116" s="34"/>
      <c r="R116" s="34"/>
      <c r="S116" s="34"/>
      <c r="T116" s="34"/>
      <c r="U116" s="34"/>
      <c r="V116" s="34"/>
      <c r="W116" s="34"/>
      <c r="X116" s="34"/>
      <c r="Y116" s="34"/>
      <c r="Z116" s="36"/>
      <c r="AA116" s="36"/>
      <c r="AB116" s="36"/>
      <c r="AC116" s="36"/>
      <c r="AD116" s="36"/>
      <c r="AE116" s="36"/>
      <c r="AF116" s="36"/>
      <c r="AG116" s="36"/>
      <c r="AH116" s="36"/>
    </row>
    <row r="117">
      <c r="A117" s="39" t="s">
        <v>38</v>
      </c>
      <c r="B117" s="39" t="s">
        <v>286</v>
      </c>
      <c r="C117" s="39" t="s">
        <v>287</v>
      </c>
      <c r="D117" s="39" t="str">
        <f>IFERROR(__xludf.DUMMYFUNCTION("GOOGLETRANSLATE(C117,""en"",""fr"")"),"Hypertension gestationnelle (légère)")</f>
        <v>Hypertension gestationnelle (légère)</v>
      </c>
      <c r="E117" s="39" t="str">
        <f>IFERROR(__xludf.DUMMYFUNCTION("GOOGLETRANSLATE(C117,""en"",""ht"")"),"Tansyon wo jestasyonèl (lejè)")</f>
        <v>Tansyon wo jestasyonèl (lejè)</v>
      </c>
      <c r="F117" s="34"/>
      <c r="G117" s="34"/>
      <c r="H117" s="34"/>
      <c r="I117" s="34"/>
      <c r="J117" s="39" t="s">
        <v>288</v>
      </c>
      <c r="K117" s="39" t="s">
        <v>182</v>
      </c>
      <c r="L117" s="34"/>
      <c r="M117" s="34"/>
      <c r="N117" s="34"/>
      <c r="O117" s="34"/>
      <c r="P117" s="34"/>
      <c r="Q117" s="34"/>
      <c r="R117" s="34"/>
      <c r="S117" s="34"/>
      <c r="T117" s="34"/>
      <c r="U117" s="34"/>
      <c r="V117" s="34"/>
      <c r="W117" s="34"/>
      <c r="X117" s="34"/>
      <c r="Y117" s="34"/>
      <c r="Z117" s="36"/>
      <c r="AA117" s="36"/>
      <c r="AB117" s="36"/>
      <c r="AC117" s="36"/>
      <c r="AD117" s="36"/>
      <c r="AE117" s="36"/>
      <c r="AF117" s="36"/>
      <c r="AG117" s="36"/>
      <c r="AH117" s="36"/>
    </row>
    <row r="118">
      <c r="A118" s="38" t="s">
        <v>38</v>
      </c>
      <c r="B118" s="38" t="s">
        <v>289</v>
      </c>
      <c r="C118" s="45" t="s">
        <v>290</v>
      </c>
      <c r="D118" s="46" t="s">
        <v>291</v>
      </c>
      <c r="E118" s="46" t="s">
        <v>292</v>
      </c>
      <c r="F118" s="34"/>
      <c r="G118" s="34"/>
      <c r="H118" s="34"/>
      <c r="I118" s="34"/>
      <c r="J118" s="38" t="s">
        <v>288</v>
      </c>
      <c r="K118" s="43"/>
      <c r="L118" s="34"/>
      <c r="M118" s="34"/>
      <c r="N118" s="34"/>
      <c r="O118" s="34"/>
      <c r="P118" s="34"/>
      <c r="Q118" s="34"/>
      <c r="R118" s="34"/>
      <c r="S118" s="34"/>
      <c r="T118" s="34"/>
      <c r="U118" s="34"/>
      <c r="V118" s="34"/>
      <c r="W118" s="34"/>
      <c r="X118" s="34"/>
      <c r="Y118" s="34"/>
      <c r="Z118" s="36"/>
      <c r="AA118" s="36"/>
      <c r="AB118" s="36"/>
      <c r="AC118" s="36"/>
      <c r="AD118" s="36"/>
      <c r="AE118" s="36"/>
      <c r="AF118" s="36"/>
      <c r="AG118" s="36"/>
      <c r="AH118" s="36"/>
    </row>
    <row r="119">
      <c r="A119" s="39" t="s">
        <v>38</v>
      </c>
      <c r="B119" s="39" t="s">
        <v>293</v>
      </c>
      <c r="C119" s="39" t="s">
        <v>294</v>
      </c>
      <c r="D119" s="39" t="str">
        <f>IFERROR(__xludf.DUMMYFUNCTION("GOOGLETRANSLATE(C119,""en"",""fr"")"),"Hypertension gestationnelle (sévère)")</f>
        <v>Hypertension gestationnelle (sévère)</v>
      </c>
      <c r="E119" s="39" t="str">
        <f>IFERROR(__xludf.DUMMYFUNCTION("GOOGLETRANSLATE(C119,""en"",""ht"")"),"Tansyon wo jestasyonèl (grav)")</f>
        <v>Tansyon wo jestasyonèl (grav)</v>
      </c>
      <c r="F119" s="34"/>
      <c r="G119" s="34"/>
      <c r="H119" s="34"/>
      <c r="I119" s="34"/>
      <c r="J119" s="39" t="s">
        <v>295</v>
      </c>
      <c r="K119" s="39" t="s">
        <v>197</v>
      </c>
      <c r="L119" s="34"/>
      <c r="M119" s="34"/>
      <c r="N119" s="34"/>
      <c r="O119" s="34"/>
      <c r="P119" s="34"/>
      <c r="Q119" s="34"/>
      <c r="R119" s="34"/>
      <c r="S119" s="34"/>
      <c r="T119" s="34"/>
      <c r="U119" s="34"/>
      <c r="V119" s="34"/>
      <c r="W119" s="34"/>
      <c r="X119" s="34"/>
      <c r="Y119" s="34"/>
      <c r="Z119" s="36"/>
      <c r="AA119" s="36"/>
      <c r="AB119" s="36"/>
      <c r="AC119" s="36"/>
      <c r="AD119" s="36"/>
      <c r="AE119" s="36"/>
      <c r="AF119" s="36"/>
      <c r="AG119" s="36"/>
      <c r="AH119" s="36"/>
    </row>
    <row r="120">
      <c r="A120" s="38" t="s">
        <v>38</v>
      </c>
      <c r="B120" s="38" t="s">
        <v>296</v>
      </c>
      <c r="C120" s="45" t="s">
        <v>297</v>
      </c>
      <c r="D120" s="46" t="s">
        <v>298</v>
      </c>
      <c r="E120" s="46" t="s">
        <v>299</v>
      </c>
      <c r="F120" s="34"/>
      <c r="G120" s="34"/>
      <c r="H120" s="34"/>
      <c r="I120" s="34"/>
      <c r="J120" s="38" t="s">
        <v>295</v>
      </c>
      <c r="K120" s="43"/>
      <c r="L120" s="34"/>
      <c r="M120" s="34"/>
      <c r="N120" s="34"/>
      <c r="O120" s="34"/>
      <c r="P120" s="34"/>
      <c r="Q120" s="34"/>
      <c r="R120" s="34"/>
      <c r="S120" s="34"/>
      <c r="T120" s="34"/>
      <c r="U120" s="34"/>
      <c r="V120" s="34"/>
      <c r="W120" s="34"/>
      <c r="X120" s="34"/>
      <c r="Y120" s="34"/>
      <c r="Z120" s="36"/>
      <c r="AA120" s="36"/>
      <c r="AB120" s="36"/>
      <c r="AC120" s="36"/>
      <c r="AD120" s="36"/>
      <c r="AE120" s="36"/>
      <c r="AF120" s="36"/>
      <c r="AG120" s="36"/>
      <c r="AH120" s="36"/>
    </row>
    <row r="121">
      <c r="A121" s="39" t="s">
        <v>38</v>
      </c>
      <c r="B121" s="39" t="s">
        <v>300</v>
      </c>
      <c r="C121" s="39" t="s">
        <v>301</v>
      </c>
      <c r="D121" s="39" t="str">
        <f>IFERROR(__xludf.DUMMYFUNCTION("GOOGLETRANSLATE(C121,""en"",""fr"")"),"Pré-éclampsie")</f>
        <v>Pré-éclampsie</v>
      </c>
      <c r="E121" s="39" t="str">
        <f>IFERROR(__xludf.DUMMYFUNCTION("GOOGLETRANSLATE(C121,""en"",""ht"")"),"Pre-eklanpsi")</f>
        <v>Pre-eklanpsi</v>
      </c>
      <c r="F121" s="34"/>
      <c r="G121" s="34"/>
      <c r="H121" s="34"/>
      <c r="I121" s="34"/>
      <c r="J121" s="39" t="s">
        <v>302</v>
      </c>
      <c r="K121" s="39" t="s">
        <v>197</v>
      </c>
      <c r="L121" s="34"/>
      <c r="M121" s="34"/>
      <c r="N121" s="34"/>
      <c r="O121" s="34"/>
      <c r="P121" s="34"/>
      <c r="Q121" s="34"/>
      <c r="R121" s="34"/>
      <c r="S121" s="34"/>
      <c r="T121" s="34"/>
      <c r="U121" s="34"/>
      <c r="V121" s="34"/>
      <c r="W121" s="34"/>
      <c r="X121" s="34"/>
      <c r="Y121" s="34"/>
      <c r="Z121" s="36"/>
      <c r="AA121" s="36"/>
      <c r="AB121" s="36"/>
      <c r="AC121" s="36"/>
      <c r="AD121" s="36"/>
      <c r="AE121" s="36"/>
      <c r="AF121" s="36"/>
      <c r="AG121" s="36"/>
      <c r="AH121" s="36"/>
    </row>
    <row r="122">
      <c r="A122" s="38" t="s">
        <v>38</v>
      </c>
      <c r="B122" s="38" t="s">
        <v>303</v>
      </c>
      <c r="C122" s="45" t="s">
        <v>297</v>
      </c>
      <c r="D122" s="46" t="s">
        <v>298</v>
      </c>
      <c r="E122" s="46" t="s">
        <v>299</v>
      </c>
      <c r="F122" s="34"/>
      <c r="G122" s="34"/>
      <c r="H122" s="34"/>
      <c r="I122" s="34"/>
      <c r="J122" s="38" t="s">
        <v>302</v>
      </c>
      <c r="K122" s="43"/>
      <c r="L122" s="34"/>
      <c r="M122" s="34"/>
      <c r="N122" s="34"/>
      <c r="O122" s="34"/>
      <c r="P122" s="34"/>
      <c r="Q122" s="34"/>
      <c r="R122" s="34"/>
      <c r="S122" s="34"/>
      <c r="T122" s="34"/>
      <c r="U122" s="34"/>
      <c r="V122" s="34"/>
      <c r="W122" s="34"/>
      <c r="X122" s="34"/>
      <c r="Y122" s="34"/>
      <c r="Z122" s="36"/>
      <c r="AA122" s="36"/>
      <c r="AB122" s="36"/>
      <c r="AC122" s="36"/>
      <c r="AD122" s="36"/>
      <c r="AE122" s="36"/>
      <c r="AF122" s="36"/>
      <c r="AG122" s="36"/>
      <c r="AH122" s="36"/>
    </row>
    <row r="123">
      <c r="A123" s="39" t="s">
        <v>38</v>
      </c>
      <c r="B123" s="39" t="s">
        <v>304</v>
      </c>
      <c r="C123" s="39" t="s">
        <v>305</v>
      </c>
      <c r="D123" s="39" t="str">
        <f>IFERROR(__xludf.DUMMYFUNCTION("GOOGLETRANSLATE(C123,""en"",""fr"")"),"Infection génito-urinaire pendant la grossesse")</f>
        <v>Infection génito-urinaire pendant la grossesse</v>
      </c>
      <c r="E123" s="39" t="str">
        <f>IFERROR(__xludf.DUMMYFUNCTION("GOOGLETRANSLATE(C123,""en"",""ht"")"),"Enfeksyon jenitourinè pandan gwosès")</f>
        <v>Enfeksyon jenitourinè pandan gwosès</v>
      </c>
      <c r="F123" s="34"/>
      <c r="G123" s="34"/>
      <c r="H123" s="34"/>
      <c r="I123" s="34"/>
      <c r="J123" s="39" t="s">
        <v>306</v>
      </c>
      <c r="K123" s="39" t="s">
        <v>197</v>
      </c>
      <c r="L123" s="34"/>
      <c r="M123" s="34"/>
      <c r="N123" s="34"/>
      <c r="O123" s="34"/>
      <c r="P123" s="34"/>
      <c r="Q123" s="34"/>
      <c r="R123" s="34"/>
      <c r="S123" s="34"/>
      <c r="T123" s="34"/>
      <c r="U123" s="34"/>
      <c r="V123" s="34"/>
      <c r="W123" s="34"/>
      <c r="X123" s="34"/>
      <c r="Y123" s="34"/>
      <c r="Z123" s="36"/>
      <c r="AA123" s="36"/>
      <c r="AB123" s="36"/>
      <c r="AC123" s="36"/>
      <c r="AD123" s="36"/>
      <c r="AE123" s="36"/>
      <c r="AF123" s="36"/>
      <c r="AG123" s="36"/>
      <c r="AH123" s="36"/>
    </row>
    <row r="124">
      <c r="A124" s="38" t="s">
        <v>38</v>
      </c>
      <c r="B124" s="38" t="s">
        <v>307</v>
      </c>
      <c r="C124" s="45" t="s">
        <v>308</v>
      </c>
      <c r="D124" s="46" t="s">
        <v>309</v>
      </c>
      <c r="E124" s="46" t="s">
        <v>310</v>
      </c>
      <c r="F124" s="34"/>
      <c r="G124" s="34"/>
      <c r="H124" s="34"/>
      <c r="I124" s="34"/>
      <c r="J124" s="38" t="s">
        <v>306</v>
      </c>
      <c r="K124" s="43"/>
      <c r="L124" s="34"/>
      <c r="M124" s="34"/>
      <c r="N124" s="34"/>
      <c r="O124" s="34"/>
      <c r="P124" s="34"/>
      <c r="Q124" s="34"/>
      <c r="R124" s="34"/>
      <c r="S124" s="34"/>
      <c r="T124" s="34"/>
      <c r="U124" s="34"/>
      <c r="V124" s="34"/>
      <c r="W124" s="34"/>
      <c r="X124" s="34"/>
      <c r="Y124" s="34"/>
      <c r="Z124" s="36"/>
      <c r="AA124" s="36"/>
      <c r="AB124" s="36"/>
      <c r="AC124" s="36"/>
      <c r="AD124" s="36"/>
      <c r="AE124" s="36"/>
      <c r="AF124" s="36"/>
      <c r="AG124" s="36"/>
      <c r="AH124" s="36"/>
    </row>
    <row r="125">
      <c r="A125" s="39" t="s">
        <v>38</v>
      </c>
      <c r="B125" s="39" t="s">
        <v>311</v>
      </c>
      <c r="C125" s="39" t="s">
        <v>312</v>
      </c>
      <c r="D125" s="39" t="str">
        <f>IFERROR(__xludf.DUMMYFUNCTION("GOOGLETRANSLATE(C125,""en"",""fr"")"),"Menace de fausse couche (&lt;20 semaines)")</f>
        <v>Menace de fausse couche (&lt;20 semaines)</v>
      </c>
      <c r="E125" s="39" t="str">
        <f>IFERROR(__xludf.DUMMYFUNCTION("GOOGLETRANSLATE(C125,""en"",""ht"")"),"Menas pou fè foskouch (&lt;20 semèn)")</f>
        <v>Menas pou fè foskouch (&lt;20 semèn)</v>
      </c>
      <c r="F125" s="34"/>
      <c r="G125" s="34"/>
      <c r="H125" s="34"/>
      <c r="I125" s="34"/>
      <c r="J125" s="39" t="s">
        <v>313</v>
      </c>
      <c r="K125" s="39" t="s">
        <v>197</v>
      </c>
      <c r="L125" s="34"/>
      <c r="M125" s="34"/>
      <c r="N125" s="34"/>
      <c r="O125" s="34"/>
      <c r="P125" s="34"/>
      <c r="Q125" s="34"/>
      <c r="R125" s="34"/>
      <c r="S125" s="34"/>
      <c r="T125" s="34"/>
      <c r="U125" s="34"/>
      <c r="V125" s="34"/>
      <c r="W125" s="34"/>
      <c r="X125" s="34"/>
      <c r="Y125" s="34"/>
      <c r="Z125" s="36"/>
      <c r="AA125" s="36"/>
      <c r="AB125" s="36"/>
      <c r="AC125" s="36"/>
      <c r="AD125" s="36"/>
      <c r="AE125" s="36"/>
      <c r="AF125" s="36"/>
      <c r="AG125" s="36"/>
      <c r="AH125" s="36"/>
    </row>
    <row r="126">
      <c r="A126" s="38" t="s">
        <v>38</v>
      </c>
      <c r="B126" s="38" t="s">
        <v>314</v>
      </c>
      <c r="C126" s="45" t="s">
        <v>315</v>
      </c>
      <c r="D126" s="46" t="s">
        <v>316</v>
      </c>
      <c r="E126" s="46" t="s">
        <v>317</v>
      </c>
      <c r="F126" s="34"/>
      <c r="G126" s="34"/>
      <c r="H126" s="34"/>
      <c r="I126" s="34"/>
      <c r="J126" s="38" t="s">
        <v>313</v>
      </c>
      <c r="K126" s="43"/>
      <c r="L126" s="34"/>
      <c r="M126" s="34"/>
      <c r="N126" s="34"/>
      <c r="O126" s="34"/>
      <c r="P126" s="34"/>
      <c r="Q126" s="34"/>
      <c r="R126" s="34"/>
      <c r="S126" s="34"/>
      <c r="T126" s="34"/>
      <c r="U126" s="34"/>
      <c r="V126" s="34"/>
      <c r="W126" s="34"/>
      <c r="X126" s="34"/>
      <c r="Y126" s="34"/>
      <c r="Z126" s="36"/>
      <c r="AA126" s="36"/>
      <c r="AB126" s="36"/>
      <c r="AC126" s="36"/>
      <c r="AD126" s="36"/>
      <c r="AE126" s="36"/>
      <c r="AF126" s="36"/>
      <c r="AG126" s="36"/>
      <c r="AH126" s="36"/>
    </row>
    <row r="127">
      <c r="A127" s="39" t="s">
        <v>38</v>
      </c>
      <c r="B127" s="39" t="s">
        <v>318</v>
      </c>
      <c r="C127" s="39" t="s">
        <v>319</v>
      </c>
      <c r="D127" s="39" t="str">
        <f>IFERROR(__xludf.DUMMYFUNCTION("GOOGLETRANSLATE(C127,""en"",""fr"")"),"Menace de fausse couche (&gt;20 semaines)")</f>
        <v>Menace de fausse couche (&gt;20 semaines)</v>
      </c>
      <c r="E127" s="39" t="str">
        <f>IFERROR(__xludf.DUMMYFUNCTION("GOOGLETRANSLATE(C127,""en"",""ht"")"),"Menas pou fè foskouch (plis pase 20 semèn)")</f>
        <v>Menas pou fè foskouch (plis pase 20 semèn)</v>
      </c>
      <c r="F127" s="34"/>
      <c r="G127" s="34"/>
      <c r="H127" s="34"/>
      <c r="I127" s="34"/>
      <c r="J127" s="39" t="s">
        <v>320</v>
      </c>
      <c r="K127" s="39" t="s">
        <v>197</v>
      </c>
      <c r="L127" s="34"/>
      <c r="M127" s="34"/>
      <c r="N127" s="34"/>
      <c r="O127" s="34"/>
      <c r="P127" s="34"/>
      <c r="Q127" s="34"/>
      <c r="R127" s="34"/>
      <c r="S127" s="34"/>
      <c r="T127" s="34"/>
      <c r="U127" s="34"/>
      <c r="V127" s="34"/>
      <c r="W127" s="34"/>
      <c r="X127" s="34"/>
      <c r="Y127" s="34"/>
      <c r="Z127" s="36"/>
      <c r="AA127" s="36"/>
      <c r="AB127" s="36"/>
      <c r="AC127" s="36"/>
      <c r="AD127" s="36"/>
      <c r="AE127" s="36"/>
      <c r="AF127" s="36"/>
      <c r="AG127" s="36"/>
      <c r="AH127" s="36"/>
    </row>
    <row r="128">
      <c r="A128" s="38" t="s">
        <v>38</v>
      </c>
      <c r="B128" s="38" t="s">
        <v>321</v>
      </c>
      <c r="C128" s="45" t="s">
        <v>262</v>
      </c>
      <c r="D128" s="46" t="s">
        <v>322</v>
      </c>
      <c r="E128" s="46" t="s">
        <v>264</v>
      </c>
      <c r="F128" s="34"/>
      <c r="G128" s="34"/>
      <c r="H128" s="34"/>
      <c r="I128" s="34"/>
      <c r="J128" s="38" t="s">
        <v>320</v>
      </c>
      <c r="K128" s="43"/>
      <c r="L128" s="34"/>
      <c r="M128" s="34"/>
      <c r="N128" s="34"/>
      <c r="O128" s="34"/>
      <c r="P128" s="34"/>
      <c r="Q128" s="34"/>
      <c r="R128" s="34"/>
      <c r="S128" s="34"/>
      <c r="T128" s="34"/>
      <c r="U128" s="34"/>
      <c r="V128" s="34"/>
      <c r="W128" s="34"/>
      <c r="X128" s="34"/>
      <c r="Y128" s="34"/>
      <c r="Z128" s="36"/>
      <c r="AA128" s="36"/>
      <c r="AB128" s="36"/>
      <c r="AC128" s="36"/>
      <c r="AD128" s="36"/>
      <c r="AE128" s="36"/>
      <c r="AF128" s="36"/>
      <c r="AG128" s="36"/>
      <c r="AH128" s="36"/>
    </row>
    <row r="129">
      <c r="A129" s="39" t="s">
        <v>38</v>
      </c>
      <c r="B129" s="39" t="s">
        <v>323</v>
      </c>
      <c r="C129" s="39" t="s">
        <v>324</v>
      </c>
      <c r="D129" s="39" t="str">
        <f>IFERROR(__xludf.DUMMYFUNCTION("GOOGLETRANSLATE(C129,""en"",""fr"")"),"Risque de tuberculose")</f>
        <v>Risque de tuberculose</v>
      </c>
      <c r="E129" s="39" t="str">
        <f>IFERROR(__xludf.DUMMYFUNCTION("GOOGLETRANSLATE(C129,""en"",""ht"")"),"Risk pou tibèkiloz")</f>
        <v>Risk pou tibèkiloz</v>
      </c>
      <c r="F129" s="34"/>
      <c r="G129" s="34"/>
      <c r="H129" s="34"/>
      <c r="I129" s="34"/>
      <c r="J129" s="39" t="s">
        <v>325</v>
      </c>
      <c r="K129" s="39" t="s">
        <v>197</v>
      </c>
      <c r="L129" s="34"/>
      <c r="M129" s="34"/>
      <c r="N129" s="34"/>
      <c r="O129" s="34"/>
      <c r="P129" s="34"/>
      <c r="Q129" s="34"/>
      <c r="R129" s="34"/>
      <c r="S129" s="34"/>
      <c r="T129" s="34"/>
      <c r="U129" s="34"/>
      <c r="V129" s="34"/>
      <c r="W129" s="34"/>
      <c r="X129" s="34"/>
      <c r="Y129" s="34"/>
      <c r="Z129" s="36"/>
      <c r="AA129" s="36"/>
      <c r="AB129" s="36"/>
      <c r="AC129" s="36"/>
      <c r="AD129" s="36"/>
      <c r="AE129" s="36"/>
      <c r="AF129" s="36"/>
      <c r="AG129" s="36"/>
      <c r="AH129" s="36"/>
    </row>
    <row r="130">
      <c r="A130" s="38" t="s">
        <v>38</v>
      </c>
      <c r="B130" s="38" t="s">
        <v>326</v>
      </c>
      <c r="C130" s="45" t="s">
        <v>327</v>
      </c>
      <c r="D130" s="46" t="s">
        <v>328</v>
      </c>
      <c r="E130" s="46" t="s">
        <v>329</v>
      </c>
      <c r="F130" s="34"/>
      <c r="G130" s="34"/>
      <c r="H130" s="34"/>
      <c r="I130" s="34"/>
      <c r="J130" s="38" t="s">
        <v>325</v>
      </c>
      <c r="K130" s="43"/>
      <c r="L130" s="34"/>
      <c r="M130" s="34"/>
      <c r="N130" s="34"/>
      <c r="O130" s="34"/>
      <c r="P130" s="34"/>
      <c r="Q130" s="34"/>
      <c r="R130" s="34"/>
      <c r="S130" s="34"/>
      <c r="T130" s="34"/>
      <c r="U130" s="34"/>
      <c r="V130" s="34"/>
      <c r="W130" s="34"/>
      <c r="X130" s="34"/>
      <c r="Y130" s="34"/>
      <c r="Z130" s="36"/>
      <c r="AA130" s="36"/>
      <c r="AB130" s="36"/>
      <c r="AC130" s="36"/>
      <c r="AD130" s="36"/>
      <c r="AE130" s="36"/>
      <c r="AF130" s="36"/>
      <c r="AG130" s="36"/>
      <c r="AH130" s="36"/>
    </row>
    <row r="131">
      <c r="A131" s="39" t="s">
        <v>38</v>
      </c>
      <c r="B131" s="39" t="s">
        <v>330</v>
      </c>
      <c r="C131" s="39" t="s">
        <v>331</v>
      </c>
      <c r="D131" s="39" t="str">
        <f>IFERROR(__xludf.DUMMYFUNCTION("GOOGLETRANSLATE(C131,""en"",""fr"")"),"Asthme")</f>
        <v>Asthme</v>
      </c>
      <c r="E131" s="39" t="str">
        <f>IFERROR(__xludf.DUMMYFUNCTION("GOOGLETRANSLATE(C131,""en"",""ht"")"),"Asm")</f>
        <v>Asm</v>
      </c>
      <c r="F131" s="34"/>
      <c r="G131" s="34"/>
      <c r="H131" s="34"/>
      <c r="I131" s="34"/>
      <c r="J131" s="39" t="s">
        <v>332</v>
      </c>
      <c r="K131" s="39" t="s">
        <v>182</v>
      </c>
      <c r="L131" s="34"/>
      <c r="M131" s="34"/>
      <c r="N131" s="34"/>
      <c r="O131" s="34"/>
      <c r="P131" s="34"/>
      <c r="Q131" s="34"/>
      <c r="R131" s="34"/>
      <c r="S131" s="34"/>
      <c r="T131" s="34"/>
      <c r="U131" s="34"/>
      <c r="V131" s="34"/>
      <c r="W131" s="34"/>
      <c r="X131" s="34"/>
      <c r="Y131" s="34"/>
      <c r="Z131" s="36"/>
      <c r="AA131" s="36"/>
      <c r="AB131" s="36"/>
      <c r="AC131" s="36"/>
      <c r="AD131" s="36"/>
      <c r="AE131" s="36"/>
      <c r="AF131" s="36"/>
      <c r="AG131" s="36"/>
      <c r="AH131" s="36"/>
    </row>
    <row r="132">
      <c r="A132" s="38" t="s">
        <v>38</v>
      </c>
      <c r="B132" s="38" t="s">
        <v>333</v>
      </c>
      <c r="C132" s="45" t="s">
        <v>334</v>
      </c>
      <c r="D132" s="46" t="s">
        <v>335</v>
      </c>
      <c r="E132" s="46" t="s">
        <v>336</v>
      </c>
      <c r="F132" s="34"/>
      <c r="G132" s="34"/>
      <c r="H132" s="34"/>
      <c r="I132" s="34"/>
      <c r="J132" s="38" t="s">
        <v>332</v>
      </c>
      <c r="K132" s="43"/>
      <c r="L132" s="34"/>
      <c r="M132" s="34"/>
      <c r="N132" s="34"/>
      <c r="O132" s="34"/>
      <c r="P132" s="34"/>
      <c r="Q132" s="34"/>
      <c r="R132" s="34"/>
      <c r="S132" s="34"/>
      <c r="T132" s="34"/>
      <c r="U132" s="34"/>
      <c r="V132" s="34"/>
      <c r="W132" s="34"/>
      <c r="X132" s="34"/>
      <c r="Y132" s="34"/>
      <c r="Z132" s="36"/>
      <c r="AA132" s="36"/>
      <c r="AB132" s="36"/>
      <c r="AC132" s="36"/>
      <c r="AD132" s="36"/>
      <c r="AE132" s="36"/>
      <c r="AF132" s="36"/>
      <c r="AG132" s="36"/>
      <c r="AH132" s="36"/>
    </row>
    <row r="133">
      <c r="A133" s="39" t="s">
        <v>38</v>
      </c>
      <c r="B133" s="39" t="s">
        <v>337</v>
      </c>
      <c r="C133" s="39" t="s">
        <v>338</v>
      </c>
      <c r="D133" s="39" t="str">
        <f>IFERROR(__xludf.DUMMYFUNCTION("GOOGLETRANSLATE(C133,""en"",""fr"")"),"Risque de pneumonie")</f>
        <v>Risque de pneumonie</v>
      </c>
      <c r="E133" s="39" t="str">
        <f>IFERROR(__xludf.DUMMYFUNCTION("GOOGLETRANSLATE(C133,""en"",""ht"")"),"Risk pou nemoni")</f>
        <v>Risk pou nemoni</v>
      </c>
      <c r="F133" s="34"/>
      <c r="G133" s="34"/>
      <c r="H133" s="34"/>
      <c r="I133" s="34"/>
      <c r="J133" s="39" t="s">
        <v>339</v>
      </c>
      <c r="K133" s="39" t="s">
        <v>182</v>
      </c>
      <c r="L133" s="34"/>
      <c r="M133" s="34"/>
      <c r="N133" s="34"/>
      <c r="O133" s="34"/>
      <c r="P133" s="34"/>
      <c r="Q133" s="34"/>
      <c r="R133" s="34"/>
      <c r="S133" s="34"/>
      <c r="T133" s="34"/>
      <c r="U133" s="34"/>
      <c r="V133" s="34"/>
      <c r="W133" s="34"/>
      <c r="X133" s="34"/>
      <c r="Y133" s="34"/>
      <c r="Z133" s="36"/>
      <c r="AA133" s="36"/>
      <c r="AB133" s="36"/>
      <c r="AC133" s="36"/>
      <c r="AD133" s="36"/>
      <c r="AE133" s="36"/>
      <c r="AF133" s="36"/>
      <c r="AG133" s="36"/>
      <c r="AH133" s="36"/>
    </row>
    <row r="134">
      <c r="A134" s="38" t="s">
        <v>38</v>
      </c>
      <c r="B134" s="38" t="s">
        <v>340</v>
      </c>
      <c r="C134" s="45" t="s">
        <v>341</v>
      </c>
      <c r="D134" s="46" t="s">
        <v>342</v>
      </c>
      <c r="E134" s="46" t="s">
        <v>343</v>
      </c>
      <c r="F134" s="34"/>
      <c r="G134" s="34"/>
      <c r="H134" s="34"/>
      <c r="I134" s="34"/>
      <c r="J134" s="38" t="s">
        <v>339</v>
      </c>
      <c r="K134" s="43"/>
      <c r="L134" s="34"/>
      <c r="M134" s="34"/>
      <c r="N134" s="34"/>
      <c r="O134" s="34"/>
      <c r="P134" s="34"/>
      <c r="Q134" s="34"/>
      <c r="R134" s="34"/>
      <c r="S134" s="34"/>
      <c r="T134" s="34"/>
      <c r="U134" s="34"/>
      <c r="V134" s="34"/>
      <c r="W134" s="34"/>
      <c r="X134" s="34"/>
      <c r="Y134" s="34"/>
      <c r="Z134" s="36"/>
      <c r="AA134" s="36"/>
      <c r="AB134" s="36"/>
      <c r="AC134" s="36"/>
      <c r="AD134" s="36"/>
      <c r="AE134" s="36"/>
      <c r="AF134" s="36"/>
      <c r="AG134" s="36"/>
      <c r="AH134" s="36"/>
    </row>
    <row r="135">
      <c r="A135" s="39" t="s">
        <v>38</v>
      </c>
      <c r="B135" s="39" t="s">
        <v>344</v>
      </c>
      <c r="C135" s="39" t="s">
        <v>345</v>
      </c>
      <c r="D135" s="39" t="str">
        <f>IFERROR(__xludf.DUMMYFUNCTION("GOOGLETRANSLATE(C135,""en"",""fr"")"),"Syndrome grippal")</f>
        <v>Syndrome grippal</v>
      </c>
      <c r="E135" s="39" t="str">
        <f>IFERROR(__xludf.DUMMYFUNCTION("GOOGLETRANSLATE(C135,""en"",""ht"")"),"Sendwòm grip la")</f>
        <v>Sendwòm grip la</v>
      </c>
      <c r="F135" s="34"/>
      <c r="G135" s="34"/>
      <c r="H135" s="34"/>
      <c r="I135" s="34"/>
      <c r="J135" s="39" t="s">
        <v>346</v>
      </c>
      <c r="K135" s="39" t="s">
        <v>182</v>
      </c>
      <c r="L135" s="34"/>
      <c r="M135" s="34"/>
      <c r="N135" s="34"/>
      <c r="O135" s="34"/>
      <c r="P135" s="34"/>
      <c r="Q135" s="34"/>
      <c r="R135" s="34"/>
      <c r="S135" s="34"/>
      <c r="T135" s="34"/>
      <c r="U135" s="34"/>
      <c r="V135" s="34"/>
      <c r="W135" s="34"/>
      <c r="X135" s="34"/>
      <c r="Y135" s="34"/>
      <c r="Z135" s="36"/>
      <c r="AA135" s="36"/>
      <c r="AB135" s="36"/>
      <c r="AC135" s="36"/>
      <c r="AD135" s="36"/>
      <c r="AE135" s="36"/>
      <c r="AF135" s="36"/>
      <c r="AG135" s="36"/>
      <c r="AH135" s="36"/>
    </row>
    <row r="136">
      <c r="A136" s="38" t="s">
        <v>38</v>
      </c>
      <c r="B136" s="38" t="s">
        <v>347</v>
      </c>
      <c r="C136" s="45" t="s">
        <v>348</v>
      </c>
      <c r="D136" s="46" t="s">
        <v>349</v>
      </c>
      <c r="E136" s="46" t="s">
        <v>350</v>
      </c>
      <c r="F136" s="34"/>
      <c r="G136" s="34"/>
      <c r="H136" s="34"/>
      <c r="I136" s="34"/>
      <c r="J136" s="38" t="s">
        <v>346</v>
      </c>
      <c r="K136" s="43"/>
      <c r="L136" s="34"/>
      <c r="M136" s="34"/>
      <c r="N136" s="34"/>
      <c r="O136" s="34"/>
      <c r="P136" s="34"/>
      <c r="Q136" s="34"/>
      <c r="R136" s="34"/>
      <c r="S136" s="34"/>
      <c r="T136" s="34"/>
      <c r="U136" s="34"/>
      <c r="V136" s="34"/>
      <c r="W136" s="34"/>
      <c r="X136" s="34"/>
      <c r="Y136" s="34"/>
      <c r="Z136" s="36"/>
      <c r="AA136" s="36"/>
      <c r="AB136" s="36"/>
      <c r="AC136" s="36"/>
      <c r="AD136" s="36"/>
      <c r="AE136" s="36"/>
      <c r="AF136" s="36"/>
      <c r="AG136" s="36"/>
      <c r="AH136" s="36"/>
    </row>
    <row r="137">
      <c r="A137" s="39" t="s">
        <v>38</v>
      </c>
      <c r="B137" s="39" t="s">
        <v>351</v>
      </c>
      <c r="C137" s="39" t="s">
        <v>352</v>
      </c>
      <c r="D137" s="39" t="str">
        <f>IFERROR(__xludf.DUMMYFUNCTION("GOOGLETRANSLATE(C137,""en"",""fr"")"),"Impétigo ou folliculite")</f>
        <v>Impétigo ou folliculite</v>
      </c>
      <c r="E137" s="39" t="str">
        <f>IFERROR(__xludf.DUMMYFUNCTION("GOOGLETRANSLATE(C137,""en"",""ht"")"),"Enpetigo oswa Folikulit")</f>
        <v>Enpetigo oswa Folikulit</v>
      </c>
      <c r="F137" s="34"/>
      <c r="G137" s="34"/>
      <c r="H137" s="34"/>
      <c r="I137" s="34"/>
      <c r="J137" s="39" t="s">
        <v>353</v>
      </c>
      <c r="K137" s="39" t="s">
        <v>182</v>
      </c>
      <c r="L137" s="34"/>
      <c r="M137" s="34"/>
      <c r="N137" s="34"/>
      <c r="O137" s="34"/>
      <c r="P137" s="34"/>
      <c r="Q137" s="34"/>
      <c r="R137" s="34"/>
      <c r="S137" s="34"/>
      <c r="T137" s="34"/>
      <c r="U137" s="34"/>
      <c r="V137" s="34"/>
      <c r="W137" s="34"/>
      <c r="X137" s="34"/>
      <c r="Y137" s="34"/>
      <c r="Z137" s="36"/>
      <c r="AA137" s="36"/>
      <c r="AB137" s="36"/>
      <c r="AC137" s="36"/>
      <c r="AD137" s="36"/>
      <c r="AE137" s="36"/>
      <c r="AF137" s="36"/>
      <c r="AG137" s="36"/>
      <c r="AH137" s="36"/>
    </row>
    <row r="138">
      <c r="A138" s="38" t="s">
        <v>38</v>
      </c>
      <c r="B138" s="38" t="s">
        <v>354</v>
      </c>
      <c r="C138" s="45" t="s">
        <v>355</v>
      </c>
      <c r="D138" s="46" t="s">
        <v>356</v>
      </c>
      <c r="E138" s="46" t="s">
        <v>357</v>
      </c>
      <c r="F138" s="34"/>
      <c r="G138" s="34"/>
      <c r="H138" s="34"/>
      <c r="I138" s="34"/>
      <c r="J138" s="38" t="s">
        <v>353</v>
      </c>
      <c r="K138" s="43"/>
      <c r="L138" s="34"/>
      <c r="M138" s="34"/>
      <c r="N138" s="34"/>
      <c r="O138" s="34"/>
      <c r="P138" s="34"/>
      <c r="Q138" s="34"/>
      <c r="R138" s="34"/>
      <c r="S138" s="34"/>
      <c r="T138" s="34"/>
      <c r="U138" s="34"/>
      <c r="V138" s="34"/>
      <c r="W138" s="34"/>
      <c r="X138" s="34"/>
      <c r="Y138" s="34"/>
      <c r="Z138" s="36"/>
      <c r="AA138" s="36"/>
      <c r="AB138" s="36"/>
      <c r="AC138" s="36"/>
      <c r="AD138" s="36"/>
      <c r="AE138" s="36"/>
      <c r="AF138" s="36"/>
      <c r="AG138" s="36"/>
      <c r="AH138" s="36"/>
    </row>
    <row r="139">
      <c r="A139" s="39" t="s">
        <v>38</v>
      </c>
      <c r="B139" s="39" t="s">
        <v>358</v>
      </c>
      <c r="C139" s="39" t="s">
        <v>359</v>
      </c>
      <c r="D139" s="39" t="str">
        <f>IFERROR(__xludf.DUMMYFUNCTION("GOOGLETRANSLATE(C139,""en"",""fr"")"),"Teigne (Tinea)")</f>
        <v>Teigne (Tinea)</v>
      </c>
      <c r="E139" s="39" t="str">
        <f>IFERROR(__xludf.DUMMYFUNCTION("GOOGLETRANSLATE(C139,""en"",""ht"")"),"Vè angren (Tinea)")</f>
        <v>Vè angren (Tinea)</v>
      </c>
      <c r="F139" s="34"/>
      <c r="G139" s="34"/>
      <c r="H139" s="34"/>
      <c r="I139" s="34"/>
      <c r="J139" s="39" t="s">
        <v>360</v>
      </c>
      <c r="K139" s="39" t="s">
        <v>182</v>
      </c>
      <c r="L139" s="34"/>
      <c r="M139" s="34"/>
      <c r="N139" s="34"/>
      <c r="O139" s="34"/>
      <c r="P139" s="34"/>
      <c r="Q139" s="34"/>
      <c r="R139" s="34"/>
      <c r="S139" s="34"/>
      <c r="T139" s="34"/>
      <c r="U139" s="34"/>
      <c r="V139" s="34"/>
      <c r="W139" s="34"/>
      <c r="X139" s="34"/>
      <c r="Y139" s="34"/>
      <c r="Z139" s="36"/>
      <c r="AA139" s="36"/>
      <c r="AB139" s="36"/>
      <c r="AC139" s="36"/>
      <c r="AD139" s="36"/>
      <c r="AE139" s="36"/>
      <c r="AF139" s="36"/>
      <c r="AG139" s="36"/>
      <c r="AH139" s="36"/>
    </row>
    <row r="140">
      <c r="A140" s="38" t="s">
        <v>38</v>
      </c>
      <c r="B140" s="38" t="s">
        <v>361</v>
      </c>
      <c r="C140" s="45" t="s">
        <v>362</v>
      </c>
      <c r="D140" s="46" t="s">
        <v>363</v>
      </c>
      <c r="E140" s="46" t="s">
        <v>364</v>
      </c>
      <c r="F140" s="34"/>
      <c r="G140" s="34"/>
      <c r="H140" s="34"/>
      <c r="I140" s="34"/>
      <c r="J140" s="38" t="s">
        <v>360</v>
      </c>
      <c r="K140" s="43"/>
      <c r="L140" s="34"/>
      <c r="M140" s="34"/>
      <c r="N140" s="34"/>
      <c r="O140" s="34"/>
      <c r="P140" s="34"/>
      <c r="Q140" s="34"/>
      <c r="R140" s="34"/>
      <c r="S140" s="34"/>
      <c r="T140" s="34"/>
      <c r="U140" s="34"/>
      <c r="V140" s="34"/>
      <c r="W140" s="34"/>
      <c r="X140" s="34"/>
      <c r="Y140" s="34"/>
      <c r="Z140" s="36"/>
      <c r="AA140" s="36"/>
      <c r="AB140" s="36"/>
      <c r="AC140" s="36"/>
      <c r="AD140" s="36"/>
      <c r="AE140" s="36"/>
      <c r="AF140" s="36"/>
      <c r="AG140" s="36"/>
      <c r="AH140" s="36"/>
    </row>
    <row r="141">
      <c r="A141" s="39" t="s">
        <v>38</v>
      </c>
      <c r="B141" s="39" t="s">
        <v>365</v>
      </c>
      <c r="C141" s="39" t="s">
        <v>366</v>
      </c>
      <c r="D141" s="39" t="str">
        <f>IFERROR(__xludf.DUMMYFUNCTION("GOOGLETRANSLATE(C141,""en"",""fr"")"),"Gale")</f>
        <v>Gale</v>
      </c>
      <c r="E141" s="39" t="str">
        <f>IFERROR(__xludf.DUMMYFUNCTION("GOOGLETRANSLATE(C141,""en"",""ht"")"),"Gale")</f>
        <v>Gale</v>
      </c>
      <c r="F141" s="34"/>
      <c r="G141" s="34"/>
      <c r="H141" s="34"/>
      <c r="I141" s="34"/>
      <c r="J141" s="39" t="s">
        <v>367</v>
      </c>
      <c r="K141" s="39" t="s">
        <v>182</v>
      </c>
      <c r="L141" s="34"/>
      <c r="M141" s="34"/>
      <c r="N141" s="34"/>
      <c r="O141" s="34"/>
      <c r="P141" s="34"/>
      <c r="Q141" s="34"/>
      <c r="R141" s="34"/>
      <c r="S141" s="34"/>
      <c r="T141" s="34"/>
      <c r="U141" s="34"/>
      <c r="V141" s="34"/>
      <c r="W141" s="34"/>
      <c r="X141" s="34"/>
      <c r="Y141" s="34"/>
      <c r="Z141" s="36"/>
      <c r="AA141" s="36"/>
      <c r="AB141" s="36"/>
      <c r="AC141" s="36"/>
      <c r="AD141" s="36"/>
      <c r="AE141" s="36"/>
      <c r="AF141" s="36"/>
      <c r="AG141" s="36"/>
      <c r="AH141" s="36"/>
    </row>
    <row r="142">
      <c r="A142" s="38" t="s">
        <v>38</v>
      </c>
      <c r="B142" s="38" t="s">
        <v>368</v>
      </c>
      <c r="C142" s="45" t="s">
        <v>369</v>
      </c>
      <c r="D142" s="46" t="s">
        <v>370</v>
      </c>
      <c r="E142" s="46" t="s">
        <v>371</v>
      </c>
      <c r="F142" s="34"/>
      <c r="G142" s="34"/>
      <c r="H142" s="34"/>
      <c r="I142" s="34"/>
      <c r="J142" s="38" t="s">
        <v>367</v>
      </c>
      <c r="K142" s="43"/>
      <c r="L142" s="34"/>
      <c r="M142" s="34"/>
      <c r="N142" s="34"/>
      <c r="O142" s="34"/>
      <c r="P142" s="34"/>
      <c r="Q142" s="34"/>
      <c r="R142" s="34"/>
      <c r="S142" s="34"/>
      <c r="T142" s="34"/>
      <c r="U142" s="34"/>
      <c r="V142" s="34"/>
      <c r="W142" s="34"/>
      <c r="X142" s="34"/>
      <c r="Y142" s="34"/>
      <c r="Z142" s="36"/>
      <c r="AA142" s="36"/>
      <c r="AB142" s="36"/>
      <c r="AC142" s="36"/>
      <c r="AD142" s="36"/>
      <c r="AE142" s="36"/>
      <c r="AF142" s="36"/>
      <c r="AG142" s="36"/>
      <c r="AH142" s="36"/>
    </row>
    <row r="143">
      <c r="A143" s="39" t="s">
        <v>38</v>
      </c>
      <c r="B143" s="39" t="s">
        <v>372</v>
      </c>
      <c r="C143" s="39" t="s">
        <v>373</v>
      </c>
      <c r="D143" s="39" t="str">
        <f>IFERROR(__xludf.DUMMYFUNCTION("GOOGLETRANSLATE(C143,""en"",""fr"")"),"Accident ischémique transitoire (AIT)")</f>
        <v>Accident ischémique transitoire (AIT)</v>
      </c>
      <c r="E143" s="39" t="str">
        <f>IFERROR(__xludf.DUMMYFUNCTION("GOOGLETRANSLATE(C143,""en"",""ht"")"),"Atak Ischemik Tanporè (TIA)")</f>
        <v>Atak Ischemik Tanporè (TIA)</v>
      </c>
      <c r="F143" s="34"/>
      <c r="G143" s="34"/>
      <c r="H143" s="34"/>
      <c r="I143" s="34"/>
      <c r="J143" s="39" t="s">
        <v>374</v>
      </c>
      <c r="K143" s="39" t="s">
        <v>197</v>
      </c>
      <c r="L143" s="34"/>
      <c r="M143" s="34"/>
      <c r="N143" s="34"/>
      <c r="O143" s="34"/>
      <c r="P143" s="34"/>
      <c r="Q143" s="34"/>
      <c r="R143" s="34"/>
      <c r="S143" s="34"/>
      <c r="T143" s="34"/>
      <c r="U143" s="34"/>
      <c r="V143" s="34"/>
      <c r="W143" s="34"/>
      <c r="X143" s="34"/>
      <c r="Y143" s="34"/>
      <c r="Z143" s="36"/>
      <c r="AA143" s="36"/>
      <c r="AB143" s="36"/>
      <c r="AC143" s="36"/>
      <c r="AD143" s="36"/>
      <c r="AE143" s="36"/>
      <c r="AF143" s="36"/>
      <c r="AG143" s="36"/>
      <c r="AH143" s="36"/>
    </row>
    <row r="144">
      <c r="A144" s="38" t="s">
        <v>38</v>
      </c>
      <c r="B144" s="38" t="s">
        <v>375</v>
      </c>
      <c r="C144" s="45" t="s">
        <v>376</v>
      </c>
      <c r="D144" s="46" t="s">
        <v>377</v>
      </c>
      <c r="E144" s="46" t="s">
        <v>378</v>
      </c>
      <c r="F144" s="34"/>
      <c r="G144" s="34"/>
      <c r="H144" s="34"/>
      <c r="I144" s="34"/>
      <c r="J144" s="38" t="s">
        <v>374</v>
      </c>
      <c r="K144" s="43"/>
      <c r="L144" s="34"/>
      <c r="M144" s="34"/>
      <c r="N144" s="34"/>
      <c r="O144" s="34"/>
      <c r="P144" s="34"/>
      <c r="Q144" s="34"/>
      <c r="R144" s="34"/>
      <c r="S144" s="34"/>
      <c r="T144" s="34"/>
      <c r="U144" s="34"/>
      <c r="V144" s="34"/>
      <c r="W144" s="34"/>
      <c r="X144" s="34"/>
      <c r="Y144" s="34"/>
      <c r="Z144" s="36"/>
      <c r="AA144" s="36"/>
      <c r="AB144" s="36"/>
      <c r="AC144" s="36"/>
      <c r="AD144" s="36"/>
      <c r="AE144" s="36"/>
      <c r="AF144" s="36"/>
      <c r="AG144" s="36"/>
      <c r="AH144" s="36"/>
    </row>
    <row r="145">
      <c r="A145" s="39" t="s">
        <v>38</v>
      </c>
      <c r="B145" s="39" t="s">
        <v>379</v>
      </c>
      <c r="C145" s="39" t="s">
        <v>380</v>
      </c>
      <c r="D145" s="39" t="str">
        <f>IFERROR(__xludf.DUMMYFUNCTION("GOOGLETRANSLATE(C145,""en"",""fr"")"),"AVC actif")</f>
        <v>AVC actif</v>
      </c>
      <c r="E145" s="39" t="str">
        <f>IFERROR(__xludf.DUMMYFUNCTION("GOOGLETRANSLATE(C145,""en"",""ht"")"),"Konjesyon Serebral Aktif")</f>
        <v>Konjesyon Serebral Aktif</v>
      </c>
      <c r="F145" s="34"/>
      <c r="G145" s="34"/>
      <c r="H145" s="34"/>
      <c r="I145" s="34"/>
      <c r="J145" s="39" t="s">
        <v>381</v>
      </c>
      <c r="K145" s="39" t="s">
        <v>197</v>
      </c>
      <c r="L145" s="34"/>
      <c r="M145" s="34"/>
      <c r="N145" s="34"/>
      <c r="O145" s="34"/>
      <c r="P145" s="34"/>
      <c r="Q145" s="34"/>
      <c r="R145" s="34"/>
      <c r="S145" s="34"/>
      <c r="T145" s="34"/>
      <c r="U145" s="34"/>
      <c r="V145" s="34"/>
      <c r="W145" s="34"/>
      <c r="X145" s="34"/>
      <c r="Y145" s="34"/>
      <c r="Z145" s="36"/>
      <c r="AA145" s="36"/>
      <c r="AB145" s="36"/>
      <c r="AC145" s="36"/>
      <c r="AD145" s="36"/>
      <c r="AE145" s="36"/>
      <c r="AF145" s="36"/>
      <c r="AG145" s="36"/>
      <c r="AH145" s="36"/>
    </row>
    <row r="146">
      <c r="A146" s="38" t="s">
        <v>38</v>
      </c>
      <c r="B146" s="38" t="s">
        <v>382</v>
      </c>
      <c r="C146" s="45" t="s">
        <v>383</v>
      </c>
      <c r="D146" s="46" t="s">
        <v>384</v>
      </c>
      <c r="E146" s="46" t="s">
        <v>385</v>
      </c>
      <c r="F146" s="34"/>
      <c r="G146" s="34"/>
      <c r="H146" s="34"/>
      <c r="I146" s="34"/>
      <c r="J146" s="38" t="s">
        <v>381</v>
      </c>
      <c r="K146" s="43"/>
      <c r="L146" s="34"/>
      <c r="M146" s="34"/>
      <c r="N146" s="34"/>
      <c r="O146" s="34"/>
      <c r="P146" s="34"/>
      <c r="Q146" s="34"/>
      <c r="R146" s="34"/>
      <c r="S146" s="34"/>
      <c r="T146" s="34"/>
      <c r="U146" s="34"/>
      <c r="V146" s="34"/>
      <c r="W146" s="34"/>
      <c r="X146" s="34"/>
      <c r="Y146" s="34"/>
      <c r="Z146" s="36"/>
      <c r="AA146" s="36"/>
      <c r="AB146" s="36"/>
      <c r="AC146" s="36"/>
      <c r="AD146" s="36"/>
      <c r="AE146" s="36"/>
      <c r="AF146" s="36"/>
      <c r="AG146" s="36"/>
      <c r="AH146" s="36"/>
    </row>
    <row r="147">
      <c r="A147" s="39" t="s">
        <v>38</v>
      </c>
      <c r="B147" s="39" t="s">
        <v>386</v>
      </c>
      <c r="C147" s="39" t="s">
        <v>387</v>
      </c>
      <c r="D147" s="39" t="str">
        <f>IFERROR(__xludf.DUMMYFUNCTION("GOOGLETRANSLATE(C147,""en"",""fr"")"),"Ancien AVC / AVC antérieur")</f>
        <v>Ancien AVC / AVC antérieur</v>
      </c>
      <c r="E147" s="39" t="str">
        <f>IFERROR(__xludf.DUMMYFUNCTION("GOOGLETRANSLATE(C147,""en"",""ht"")"),"Ansyen / Anvan Aksidan Serebrovaskilè")</f>
        <v>Ansyen / Anvan Aksidan Serebrovaskilè</v>
      </c>
      <c r="F147" s="34"/>
      <c r="G147" s="34"/>
      <c r="H147" s="34"/>
      <c r="I147" s="34"/>
      <c r="J147" s="39" t="s">
        <v>388</v>
      </c>
      <c r="K147" s="39" t="s">
        <v>182</v>
      </c>
      <c r="L147" s="34"/>
      <c r="M147" s="34"/>
      <c r="N147" s="34"/>
      <c r="O147" s="34"/>
      <c r="P147" s="34"/>
      <c r="Q147" s="34"/>
      <c r="R147" s="34"/>
      <c r="S147" s="34"/>
      <c r="T147" s="34"/>
      <c r="U147" s="34"/>
      <c r="V147" s="34"/>
      <c r="W147" s="34"/>
      <c r="X147" s="34"/>
      <c r="Y147" s="34"/>
      <c r="Z147" s="36"/>
      <c r="AA147" s="36"/>
      <c r="AB147" s="36"/>
      <c r="AC147" s="36"/>
      <c r="AD147" s="36"/>
      <c r="AE147" s="36"/>
      <c r="AF147" s="36"/>
      <c r="AG147" s="36"/>
      <c r="AH147" s="36"/>
    </row>
    <row r="148">
      <c r="A148" s="38" t="s">
        <v>38</v>
      </c>
      <c r="B148" s="38" t="s">
        <v>389</v>
      </c>
      <c r="C148" s="45" t="s">
        <v>390</v>
      </c>
      <c r="D148" s="46" t="s">
        <v>391</v>
      </c>
      <c r="E148" s="46" t="s">
        <v>392</v>
      </c>
      <c r="F148" s="34"/>
      <c r="G148" s="34"/>
      <c r="H148" s="34"/>
      <c r="I148" s="34"/>
      <c r="J148" s="38" t="s">
        <v>388</v>
      </c>
      <c r="K148" s="43"/>
      <c r="L148" s="34"/>
      <c r="M148" s="34"/>
      <c r="N148" s="34"/>
      <c r="O148" s="34"/>
      <c r="P148" s="34"/>
      <c r="Q148" s="34"/>
      <c r="R148" s="34"/>
      <c r="S148" s="34"/>
      <c r="T148" s="34"/>
      <c r="U148" s="34"/>
      <c r="V148" s="34"/>
      <c r="W148" s="34"/>
      <c r="X148" s="34"/>
      <c r="Y148" s="34"/>
      <c r="Z148" s="36"/>
      <c r="AA148" s="36"/>
      <c r="AB148" s="36"/>
      <c r="AC148" s="36"/>
      <c r="AD148" s="36"/>
      <c r="AE148" s="36"/>
      <c r="AF148" s="36"/>
      <c r="AG148" s="36"/>
      <c r="AH148" s="36"/>
    </row>
    <row r="149">
      <c r="A149" s="39" t="s">
        <v>38</v>
      </c>
      <c r="B149" s="39" t="s">
        <v>393</v>
      </c>
      <c r="C149" s="39" t="s">
        <v>394</v>
      </c>
      <c r="D149" s="39" t="str">
        <f>IFERROR(__xludf.DUMMYFUNCTION("GOOGLETRANSLATE(C149,""en"",""fr"")"),"Infection des voies urinaires")</f>
        <v>Infection des voies urinaires</v>
      </c>
      <c r="E149" s="39" t="str">
        <f>IFERROR(__xludf.DUMMYFUNCTION("GOOGLETRANSLATE(C149,""en"",""ht"")"),"Enfeksyon nan aparèy urinè")</f>
        <v>Enfeksyon nan aparèy urinè</v>
      </c>
      <c r="F149" s="34"/>
      <c r="G149" s="34"/>
      <c r="H149" s="34"/>
      <c r="I149" s="34"/>
      <c r="J149" s="39" t="s">
        <v>395</v>
      </c>
      <c r="K149" s="39" t="s">
        <v>182</v>
      </c>
      <c r="L149" s="34"/>
      <c r="M149" s="34"/>
      <c r="N149" s="34"/>
      <c r="O149" s="34"/>
      <c r="P149" s="34"/>
      <c r="Q149" s="34"/>
      <c r="R149" s="34"/>
      <c r="S149" s="34"/>
      <c r="T149" s="34"/>
      <c r="U149" s="34"/>
      <c r="V149" s="34"/>
      <c r="W149" s="34"/>
      <c r="X149" s="34"/>
      <c r="Y149" s="34"/>
      <c r="Z149" s="36"/>
      <c r="AA149" s="36"/>
      <c r="AB149" s="36"/>
      <c r="AC149" s="36"/>
      <c r="AD149" s="36"/>
      <c r="AE149" s="36"/>
      <c r="AF149" s="36"/>
      <c r="AG149" s="36"/>
      <c r="AH149" s="36"/>
    </row>
    <row r="150">
      <c r="A150" s="38" t="s">
        <v>38</v>
      </c>
      <c r="B150" s="38" t="s">
        <v>396</v>
      </c>
      <c r="C150" s="45" t="s">
        <v>397</v>
      </c>
      <c r="D150" s="46" t="s">
        <v>398</v>
      </c>
      <c r="E150" s="46" t="s">
        <v>399</v>
      </c>
      <c r="F150" s="34"/>
      <c r="G150" s="34"/>
      <c r="H150" s="34"/>
      <c r="I150" s="34"/>
      <c r="J150" s="38" t="s">
        <v>395</v>
      </c>
      <c r="K150" s="43"/>
      <c r="L150" s="34"/>
      <c r="M150" s="34"/>
      <c r="N150" s="34"/>
      <c r="O150" s="34"/>
      <c r="P150" s="34"/>
      <c r="Q150" s="34"/>
      <c r="R150" s="34"/>
      <c r="S150" s="34"/>
      <c r="T150" s="34"/>
      <c r="U150" s="34"/>
      <c r="V150" s="34"/>
      <c r="W150" s="34"/>
      <c r="X150" s="34"/>
      <c r="Y150" s="34"/>
      <c r="Z150" s="36"/>
      <c r="AA150" s="36"/>
      <c r="AB150" s="36"/>
      <c r="AC150" s="36"/>
      <c r="AD150" s="36"/>
      <c r="AE150" s="36"/>
      <c r="AF150" s="36"/>
      <c r="AG150" s="36"/>
      <c r="AH150" s="36"/>
    </row>
    <row r="151">
      <c r="A151" s="39" t="s">
        <v>38</v>
      </c>
      <c r="B151" s="39" t="s">
        <v>400</v>
      </c>
      <c r="C151" s="39" t="s">
        <v>401</v>
      </c>
      <c r="D151" s="39" t="str">
        <f>IFERROR(__xludf.DUMMYFUNCTION("GOOGLETRANSLATE(C151,""en"",""fr"")"),"Risque d'IST (sortie)")</f>
        <v>Risque d'IST (sortie)</v>
      </c>
      <c r="E151" s="39" t="str">
        <f>IFERROR(__xludf.DUMMYFUNCTION("GOOGLETRANSLATE(C151,""en"",""ht"")"),"Risk pou MST (Egzeyat)")</f>
        <v>Risk pou MST (Egzeyat)</v>
      </c>
      <c r="F151" s="34"/>
      <c r="G151" s="34"/>
      <c r="H151" s="34"/>
      <c r="I151" s="34"/>
      <c r="J151" s="39" t="s">
        <v>402</v>
      </c>
      <c r="K151" s="39" t="s">
        <v>182</v>
      </c>
      <c r="L151" s="34"/>
      <c r="M151" s="34"/>
      <c r="N151" s="34"/>
      <c r="O151" s="34"/>
      <c r="P151" s="34"/>
      <c r="Q151" s="34"/>
      <c r="R151" s="34"/>
      <c r="S151" s="34"/>
      <c r="T151" s="34"/>
      <c r="U151" s="34"/>
      <c r="V151" s="34"/>
      <c r="W151" s="34"/>
      <c r="X151" s="34"/>
      <c r="Y151" s="34"/>
      <c r="Z151" s="36"/>
      <c r="AA151" s="36"/>
      <c r="AB151" s="36"/>
      <c r="AC151" s="36"/>
      <c r="AD151" s="36"/>
      <c r="AE151" s="36"/>
      <c r="AF151" s="36"/>
      <c r="AG151" s="36"/>
      <c r="AH151" s="36"/>
    </row>
    <row r="152">
      <c r="A152" s="38" t="s">
        <v>38</v>
      </c>
      <c r="B152" s="38" t="s">
        <v>403</v>
      </c>
      <c r="C152" s="45" t="s">
        <v>404</v>
      </c>
      <c r="D152" s="46" t="s">
        <v>405</v>
      </c>
      <c r="E152" s="46" t="s">
        <v>406</v>
      </c>
      <c r="F152" s="34"/>
      <c r="G152" s="34"/>
      <c r="H152" s="34"/>
      <c r="I152" s="34"/>
      <c r="J152" s="38" t="s">
        <v>402</v>
      </c>
      <c r="K152" s="43"/>
      <c r="L152" s="34"/>
      <c r="M152" s="34"/>
      <c r="N152" s="34"/>
      <c r="O152" s="34"/>
      <c r="P152" s="34"/>
      <c r="Q152" s="34"/>
      <c r="R152" s="34"/>
      <c r="S152" s="34"/>
      <c r="T152" s="34"/>
      <c r="U152" s="34"/>
      <c r="V152" s="34"/>
      <c r="W152" s="34"/>
      <c r="X152" s="34"/>
      <c r="Y152" s="34"/>
      <c r="Z152" s="36"/>
      <c r="AA152" s="36"/>
      <c r="AB152" s="36"/>
      <c r="AC152" s="36"/>
      <c r="AD152" s="36"/>
      <c r="AE152" s="36"/>
      <c r="AF152" s="36"/>
      <c r="AG152" s="36"/>
      <c r="AH152" s="36"/>
    </row>
    <row r="153">
      <c r="A153" s="39" t="s">
        <v>38</v>
      </c>
      <c r="B153" s="39" t="s">
        <v>407</v>
      </c>
      <c r="C153" s="39" t="s">
        <v>408</v>
      </c>
      <c r="D153" s="39" t="str">
        <f>IFERROR(__xludf.DUMMYFUNCTION("GOOGLETRANSLATE(C153,""en"",""fr"")"),"Risque de MST (ulcère / syphilis)")</f>
        <v>Risque de MST (ulcère / syphilis)</v>
      </c>
      <c r="E153" s="39" t="str">
        <f>IFERROR(__xludf.DUMMYFUNCTION("GOOGLETRANSLATE(C153,""en"",""ht"")"),"Risk pou trape MST (Ilsè / Sifilis)")</f>
        <v>Risk pou trape MST (Ilsè / Sifilis)</v>
      </c>
      <c r="F153" s="34"/>
      <c r="G153" s="34"/>
      <c r="H153" s="34"/>
      <c r="I153" s="34"/>
      <c r="J153" s="39" t="s">
        <v>409</v>
      </c>
      <c r="K153" s="39" t="s">
        <v>182</v>
      </c>
      <c r="L153" s="34"/>
      <c r="M153" s="34"/>
      <c r="N153" s="34"/>
      <c r="O153" s="34"/>
      <c r="P153" s="34"/>
      <c r="Q153" s="34"/>
      <c r="R153" s="34"/>
      <c r="S153" s="34"/>
      <c r="T153" s="34"/>
      <c r="U153" s="34"/>
      <c r="V153" s="34"/>
      <c r="W153" s="34"/>
      <c r="X153" s="34"/>
      <c r="Y153" s="34"/>
      <c r="Z153" s="36"/>
      <c r="AA153" s="36"/>
      <c r="AB153" s="36"/>
      <c r="AC153" s="36"/>
      <c r="AD153" s="36"/>
      <c r="AE153" s="36"/>
      <c r="AF153" s="36"/>
      <c r="AG153" s="36"/>
      <c r="AH153" s="36"/>
    </row>
    <row r="154">
      <c r="A154" s="38" t="s">
        <v>38</v>
      </c>
      <c r="B154" s="38" t="s">
        <v>410</v>
      </c>
      <c r="C154" s="45" t="s">
        <v>411</v>
      </c>
      <c r="D154" s="46" t="s">
        <v>412</v>
      </c>
      <c r="E154" s="46" t="s">
        <v>413</v>
      </c>
      <c r="F154" s="34"/>
      <c r="G154" s="34"/>
      <c r="H154" s="34"/>
      <c r="I154" s="34"/>
      <c r="J154" s="38" t="s">
        <v>409</v>
      </c>
      <c r="K154" s="43"/>
      <c r="L154" s="34"/>
      <c r="M154" s="34"/>
      <c r="N154" s="34"/>
      <c r="O154" s="34"/>
      <c r="P154" s="34"/>
      <c r="Q154" s="34"/>
      <c r="R154" s="34"/>
      <c r="S154" s="34"/>
      <c r="T154" s="34"/>
      <c r="U154" s="34"/>
      <c r="V154" s="34"/>
      <c r="W154" s="34"/>
      <c r="X154" s="34"/>
      <c r="Y154" s="34"/>
      <c r="Z154" s="36"/>
      <c r="AA154" s="36"/>
      <c r="AB154" s="36"/>
      <c r="AC154" s="36"/>
      <c r="AD154" s="36"/>
      <c r="AE154" s="36"/>
      <c r="AF154" s="36"/>
      <c r="AG154" s="36"/>
      <c r="AH154" s="36"/>
    </row>
    <row r="155">
      <c r="A155" s="39" t="s">
        <v>38</v>
      </c>
      <c r="B155" s="39" t="s">
        <v>414</v>
      </c>
      <c r="C155" s="39" t="s">
        <v>415</v>
      </c>
      <c r="D155" s="39" t="str">
        <f>IFERROR(__xludf.DUMMYFUNCTION("GOOGLETRANSLATE(C155,""en"",""fr"")"),"Anémie modérée")</f>
        <v>Anémie modérée</v>
      </c>
      <c r="E155" s="39" t="str">
        <f>IFERROR(__xludf.DUMMYFUNCTION("GOOGLETRANSLATE(C155,""en"",""ht"")"),"Anemi modere")</f>
        <v>Anemi modere</v>
      </c>
      <c r="F155" s="34"/>
      <c r="G155" s="34"/>
      <c r="H155" s="34"/>
      <c r="I155" s="34"/>
      <c r="J155" s="39" t="s">
        <v>416</v>
      </c>
      <c r="K155" s="39" t="s">
        <v>182</v>
      </c>
      <c r="L155" s="34"/>
      <c r="M155" s="34"/>
      <c r="N155" s="34"/>
      <c r="O155" s="34"/>
      <c r="P155" s="34"/>
      <c r="Q155" s="34"/>
      <c r="R155" s="34"/>
      <c r="S155" s="34"/>
      <c r="T155" s="34"/>
      <c r="U155" s="34"/>
      <c r="V155" s="34"/>
      <c r="W155" s="34"/>
      <c r="X155" s="34"/>
      <c r="Y155" s="34"/>
      <c r="Z155" s="36"/>
      <c r="AA155" s="36"/>
      <c r="AB155" s="36"/>
      <c r="AC155" s="36"/>
      <c r="AD155" s="36"/>
      <c r="AE155" s="36"/>
      <c r="AF155" s="36"/>
      <c r="AG155" s="36"/>
      <c r="AH155" s="36"/>
    </row>
    <row r="156">
      <c r="A156" s="38" t="s">
        <v>38</v>
      </c>
      <c r="B156" s="38" t="s">
        <v>417</v>
      </c>
      <c r="C156" s="45" t="s">
        <v>418</v>
      </c>
      <c r="D156" s="46" t="s">
        <v>419</v>
      </c>
      <c r="E156" s="46" t="s">
        <v>420</v>
      </c>
      <c r="F156" s="34"/>
      <c r="G156" s="34"/>
      <c r="H156" s="34"/>
      <c r="I156" s="34"/>
      <c r="J156" s="38" t="s">
        <v>416</v>
      </c>
      <c r="K156" s="43"/>
      <c r="L156" s="34"/>
      <c r="M156" s="34"/>
      <c r="N156" s="34"/>
      <c r="O156" s="34"/>
      <c r="P156" s="34"/>
      <c r="Q156" s="34"/>
      <c r="R156" s="34"/>
      <c r="S156" s="34"/>
      <c r="T156" s="34"/>
      <c r="U156" s="34"/>
      <c r="V156" s="34"/>
      <c r="W156" s="34"/>
      <c r="X156" s="34"/>
      <c r="Y156" s="34"/>
      <c r="Z156" s="36"/>
      <c r="AA156" s="36"/>
      <c r="AB156" s="36"/>
      <c r="AC156" s="36"/>
      <c r="AD156" s="36"/>
      <c r="AE156" s="36"/>
      <c r="AF156" s="36"/>
      <c r="AG156" s="36"/>
      <c r="AH156" s="36"/>
    </row>
    <row r="157">
      <c r="A157" s="39" t="s">
        <v>38</v>
      </c>
      <c r="B157" s="39" t="s">
        <v>421</v>
      </c>
      <c r="C157" s="39" t="s">
        <v>422</v>
      </c>
      <c r="D157" s="39" t="str">
        <f>IFERROR(__xludf.DUMMYFUNCTION("GOOGLETRANSLATE(C157,""en"",""fr"")"),"Orientation urgente/en urgence requise")</f>
        <v>Orientation urgente/en urgence requise</v>
      </c>
      <c r="E157" s="39" t="str">
        <f>IFERROR(__xludf.DUMMYFUNCTION("GOOGLETRANSLATE(C157,""en"",""ht"")"),"Referans Ijan/Ijans Obligatwa")</f>
        <v>Referans Ijan/Ijans Obligatwa</v>
      </c>
      <c r="F157" s="34"/>
      <c r="G157" s="34"/>
      <c r="H157" s="34"/>
      <c r="I157" s="34"/>
      <c r="J157" s="39" t="s">
        <v>423</v>
      </c>
      <c r="K157" s="39" t="s">
        <v>197</v>
      </c>
      <c r="L157" s="34"/>
      <c r="M157" s="34"/>
      <c r="N157" s="34"/>
      <c r="O157" s="34"/>
      <c r="P157" s="34"/>
      <c r="Q157" s="34"/>
      <c r="R157" s="34"/>
      <c r="S157" s="34"/>
      <c r="T157" s="34"/>
      <c r="U157" s="34"/>
      <c r="V157" s="34"/>
      <c r="W157" s="34"/>
      <c r="X157" s="34"/>
      <c r="Y157" s="34"/>
      <c r="Z157" s="36"/>
      <c r="AA157" s="36"/>
      <c r="AB157" s="36"/>
      <c r="AC157" s="36"/>
      <c r="AD157" s="36"/>
      <c r="AE157" s="36"/>
      <c r="AF157" s="36"/>
      <c r="AG157" s="36"/>
      <c r="AH157" s="36"/>
    </row>
    <row r="158">
      <c r="A158" s="38" t="s">
        <v>38</v>
      </c>
      <c r="B158" s="38" t="s">
        <v>424</v>
      </c>
      <c r="C158" s="45" t="s">
        <v>425</v>
      </c>
      <c r="D158" s="46" t="s">
        <v>426</v>
      </c>
      <c r="E158" s="46" t="s">
        <v>427</v>
      </c>
      <c r="F158" s="34"/>
      <c r="G158" s="34"/>
      <c r="H158" s="34"/>
      <c r="I158" s="34"/>
      <c r="J158" s="38" t="s">
        <v>423</v>
      </c>
      <c r="K158" s="43"/>
      <c r="L158" s="34"/>
      <c r="M158" s="34"/>
      <c r="N158" s="34"/>
      <c r="O158" s="34"/>
      <c r="P158" s="34"/>
      <c r="Q158" s="34"/>
      <c r="R158" s="34"/>
      <c r="S158" s="34"/>
      <c r="T158" s="34"/>
      <c r="U158" s="34"/>
      <c r="V158" s="34"/>
      <c r="W158" s="34"/>
      <c r="X158" s="34"/>
      <c r="Y158" s="34"/>
      <c r="Z158" s="36"/>
      <c r="AA158" s="36"/>
      <c r="AB158" s="36"/>
      <c r="AC158" s="36"/>
      <c r="AD158" s="36"/>
      <c r="AE158" s="36"/>
      <c r="AF158" s="36"/>
      <c r="AG158" s="36"/>
      <c r="AH158" s="36"/>
    </row>
    <row r="159">
      <c r="A159" s="39" t="s">
        <v>38</v>
      </c>
      <c r="B159" s="39" t="s">
        <v>428</v>
      </c>
      <c r="C159" s="39" t="s">
        <v>429</v>
      </c>
      <c r="D159" s="39" t="str">
        <f>IFERROR(__xludf.DUMMYFUNCTION("GOOGLETRANSLATE(C159,""en"",""fr"")"),"Aucune mesure médicale spécifique requise")</f>
        <v>Aucune mesure médicale spécifique requise</v>
      </c>
      <c r="E159" s="39" t="str">
        <f>IFERROR(__xludf.DUMMYFUNCTION("GOOGLETRANSLATE(C159,""en"",""ht"")"),"Pa gen okenn aksyon medikal espesifik ki nesesè")</f>
        <v>Pa gen okenn aksyon medikal espesifik ki nesesè</v>
      </c>
      <c r="F159" s="34"/>
      <c r="G159" s="34"/>
      <c r="H159" s="34"/>
      <c r="I159" s="34"/>
      <c r="J159" s="39" t="s">
        <v>430</v>
      </c>
      <c r="K159" s="39" t="s">
        <v>431</v>
      </c>
      <c r="L159" s="34"/>
      <c r="M159" s="34"/>
      <c r="N159" s="34"/>
      <c r="O159" s="34"/>
      <c r="P159" s="34"/>
      <c r="Q159" s="34"/>
      <c r="R159" s="34"/>
      <c r="S159" s="34"/>
      <c r="T159" s="34"/>
      <c r="U159" s="34"/>
      <c r="V159" s="34"/>
      <c r="W159" s="34"/>
      <c r="X159" s="34"/>
      <c r="Y159" s="34"/>
      <c r="Z159" s="36"/>
      <c r="AA159" s="36"/>
      <c r="AB159" s="36"/>
      <c r="AC159" s="36"/>
      <c r="AD159" s="36"/>
      <c r="AE159" s="36"/>
      <c r="AF159" s="36"/>
      <c r="AG159" s="36"/>
      <c r="AH159" s="36"/>
    </row>
    <row r="160">
      <c r="A160" s="38" t="s">
        <v>38</v>
      </c>
      <c r="B160" s="38" t="s">
        <v>432</v>
      </c>
      <c r="C160" s="45" t="s">
        <v>433</v>
      </c>
      <c r="D160" s="46" t="s">
        <v>434</v>
      </c>
      <c r="E160" s="46" t="s">
        <v>435</v>
      </c>
      <c r="F160" s="34"/>
      <c r="G160" s="34"/>
      <c r="H160" s="34"/>
      <c r="I160" s="34"/>
      <c r="J160" s="38" t="s">
        <v>430</v>
      </c>
      <c r="K160" s="43"/>
      <c r="L160" s="34"/>
      <c r="M160" s="34"/>
      <c r="N160" s="34"/>
      <c r="O160" s="34"/>
      <c r="P160" s="34"/>
      <c r="Q160" s="34"/>
      <c r="R160" s="34"/>
      <c r="S160" s="34"/>
      <c r="T160" s="34"/>
      <c r="U160" s="34"/>
      <c r="V160" s="34"/>
      <c r="W160" s="34"/>
      <c r="X160" s="34"/>
      <c r="Y160" s="34"/>
      <c r="Z160" s="36"/>
      <c r="AA160" s="36"/>
      <c r="AB160" s="36"/>
      <c r="AC160" s="36"/>
      <c r="AD160" s="36"/>
      <c r="AE160" s="36"/>
      <c r="AF160" s="36"/>
      <c r="AG160" s="36"/>
      <c r="AH160" s="36"/>
    </row>
    <row r="161">
      <c r="A161" s="39" t="s">
        <v>82</v>
      </c>
      <c r="B161" s="39" t="s">
        <v>166</v>
      </c>
      <c r="C161" s="44"/>
      <c r="D161" s="44"/>
      <c r="E161" s="44"/>
      <c r="F161" s="34"/>
      <c r="G161" s="34"/>
      <c r="H161" s="34"/>
      <c r="I161" s="34"/>
      <c r="J161" s="34"/>
      <c r="K161" s="34"/>
      <c r="L161" s="34"/>
      <c r="M161" s="34"/>
      <c r="N161" s="34"/>
      <c r="O161" s="34"/>
      <c r="P161" s="34"/>
      <c r="Q161" s="34"/>
      <c r="R161" s="34"/>
      <c r="S161" s="34"/>
      <c r="T161" s="34"/>
      <c r="U161" s="34"/>
      <c r="V161" s="34"/>
      <c r="W161" s="34"/>
      <c r="X161" s="34"/>
      <c r="Y161" s="34"/>
      <c r="Z161" s="36"/>
      <c r="AA161" s="36"/>
      <c r="AB161" s="36"/>
      <c r="AC161" s="36"/>
      <c r="AD161" s="36"/>
      <c r="AE161" s="36"/>
      <c r="AF161" s="36"/>
      <c r="AG161" s="36"/>
      <c r="AH161" s="36"/>
    </row>
    <row r="162">
      <c r="A162" s="34"/>
      <c r="B162" s="35"/>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6"/>
      <c r="AA162" s="36"/>
      <c r="AB162" s="36"/>
      <c r="AC162" s="36"/>
      <c r="AD162" s="36"/>
      <c r="AE162" s="36"/>
      <c r="AF162" s="36"/>
      <c r="AG162" s="36"/>
      <c r="AH162" s="36"/>
    </row>
    <row r="163">
      <c r="A163" s="37" t="s">
        <v>49</v>
      </c>
      <c r="B163" s="46" t="s">
        <v>436</v>
      </c>
      <c r="C163" s="37" t="s">
        <v>301</v>
      </c>
      <c r="D163" s="37" t="s">
        <v>437</v>
      </c>
      <c r="E163" s="37" t="s">
        <v>438</v>
      </c>
      <c r="F163" s="34"/>
      <c r="G163" s="34"/>
      <c r="H163" s="34"/>
      <c r="I163" s="34"/>
      <c r="J163" s="37" t="s">
        <v>302</v>
      </c>
      <c r="K163" s="37" t="s">
        <v>58</v>
      </c>
      <c r="L163" s="34"/>
      <c r="M163" s="34"/>
      <c r="N163" s="34"/>
      <c r="O163" s="34"/>
      <c r="P163" s="34"/>
      <c r="Q163" s="34"/>
      <c r="R163" s="34"/>
      <c r="S163" s="34"/>
      <c r="T163" s="34"/>
      <c r="U163" s="34"/>
      <c r="V163" s="34"/>
      <c r="W163" s="34"/>
      <c r="X163" s="34"/>
      <c r="Y163" s="34"/>
      <c r="Z163" s="36"/>
      <c r="AA163" s="36"/>
      <c r="AB163" s="36"/>
      <c r="AC163" s="36"/>
      <c r="AD163" s="36"/>
      <c r="AE163" s="36"/>
      <c r="AF163" s="36"/>
      <c r="AG163" s="36"/>
      <c r="AH163" s="36"/>
    </row>
    <row r="164">
      <c r="A164" s="37" t="s">
        <v>38</v>
      </c>
      <c r="B164" s="40" t="s">
        <v>439</v>
      </c>
      <c r="C164" s="37" t="s">
        <v>440</v>
      </c>
      <c r="D164" s="39" t="str">
        <f>IFERROR(__xludf.DUMMYFUNCTION("GOOGLETRANSLATE(C164,""en"",""fr"")"),"La patiente présente une prééclampsie.")</f>
        <v>La patiente présente une prééclampsie.</v>
      </c>
      <c r="E164" s="39" t="str">
        <f>IFERROR(__xludf.DUMMYFUNCTION("GOOGLETRANSLATE(C164,""en"",""ht"")"),"Pasyan an gen preeklanpsi")</f>
        <v>Pasyan an gen preeklanpsi</v>
      </c>
      <c r="F164" s="34"/>
      <c r="G164" s="34"/>
      <c r="H164" s="34"/>
      <c r="I164" s="34"/>
      <c r="J164" s="37"/>
      <c r="K164" s="37" t="s">
        <v>197</v>
      </c>
      <c r="L164" s="34"/>
      <c r="M164" s="34"/>
      <c r="N164" s="34"/>
      <c r="O164" s="34"/>
      <c r="P164" s="34"/>
      <c r="Q164" s="34"/>
      <c r="R164" s="34"/>
      <c r="S164" s="34"/>
      <c r="T164" s="34"/>
      <c r="U164" s="34"/>
      <c r="V164" s="34"/>
      <c r="W164" s="34"/>
      <c r="X164" s="34"/>
      <c r="Y164" s="34"/>
      <c r="Z164" s="36"/>
      <c r="AA164" s="36"/>
      <c r="AB164" s="36"/>
      <c r="AC164" s="36"/>
      <c r="AD164" s="36"/>
      <c r="AE164" s="36"/>
      <c r="AF164" s="36"/>
      <c r="AG164" s="36"/>
      <c r="AH164" s="36"/>
    </row>
    <row r="165">
      <c r="A165" s="37" t="s">
        <v>38</v>
      </c>
      <c r="B165" s="40" t="s">
        <v>441</v>
      </c>
      <c r="C165" s="37" t="s">
        <v>442</v>
      </c>
      <c r="D165" s="39" t="str">
        <f>IFERROR(__xludf.DUMMYFUNCTION("GOOGLETRANSLATE(C165,""en"",""fr"")"),"Protocole :
- Administrer immédiatement 20 mg de nifédipine
- Transférer immédiatement le patient à l’hôpital")</f>
        <v>Protocole :
- Administrer immédiatement 20 mg de nifédipine
- Transférer immédiatement le patient à l’hôpital</v>
      </c>
      <c r="E165" s="39" t="str">
        <f>IFERROR(__xludf.DUMMYFUNCTION("GOOGLETRANSLATE(C165,""en"",""ht"")"),"Pwotokòl:
- Administre Nifedipine 20mg imedyatman
- Voye pasyan an lopital imedyatman")</f>
        <v>Pwotokòl:
- Administre Nifedipine 20mg imedyatman
- Voye pasyan an lopital imedyatman</v>
      </c>
      <c r="F165" s="34"/>
      <c r="G165" s="34"/>
      <c r="H165" s="34"/>
      <c r="I165" s="34"/>
      <c r="J165" s="34"/>
      <c r="K165" s="34"/>
      <c r="L165" s="34"/>
      <c r="M165" s="34"/>
      <c r="N165" s="34"/>
      <c r="O165" s="34"/>
      <c r="P165" s="34"/>
      <c r="Q165" s="34"/>
      <c r="R165" s="34"/>
      <c r="S165" s="34"/>
      <c r="T165" s="34"/>
      <c r="U165" s="34"/>
      <c r="V165" s="34"/>
      <c r="W165" s="37"/>
      <c r="X165" s="37"/>
      <c r="Y165" s="34"/>
      <c r="Z165" s="36"/>
      <c r="AA165" s="36"/>
      <c r="AB165" s="36"/>
      <c r="AC165" s="36"/>
      <c r="AD165" s="36"/>
      <c r="AE165" s="36"/>
      <c r="AF165" s="36"/>
      <c r="AG165" s="36"/>
      <c r="AH165" s="36"/>
    </row>
    <row r="166">
      <c r="A166" s="37" t="s">
        <v>38</v>
      </c>
      <c r="B166" s="40" t="s">
        <v>443</v>
      </c>
      <c r="C166" s="37" t="s">
        <v>444</v>
      </c>
      <c r="D166" s="39" t="str">
        <f>IFERROR(__xludf.DUMMYFUNCTION("GOOGLETRANSLATE(C166,""en"",""fr"")"),"Accompagnement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166" s="39" t="str">
        <f>IFERROR(__xludf.DUMMYFUNCTION("GOOGLETRANSLATE(C166,""en"",""ht"")"),"Konsèy:
- (Konsèy TODO pa bay nan pwotokòl swen yo - ajoute kòm espas vid pou fidbak enfimyè yo)")</f>
        <v>Konsèy:
- (Konsèy TODO pa bay nan pwotokòl swen yo - ajoute kòm espas vid pou fidbak enfimyè yo)</v>
      </c>
      <c r="F166" s="34"/>
      <c r="G166" s="34"/>
      <c r="H166" s="34"/>
      <c r="I166" s="34"/>
      <c r="J166" s="34"/>
      <c r="K166" s="34"/>
      <c r="L166" s="34"/>
      <c r="M166" s="34"/>
      <c r="N166" s="34"/>
      <c r="O166" s="34"/>
      <c r="P166" s="34"/>
      <c r="Q166" s="34"/>
      <c r="R166" s="34"/>
      <c r="S166" s="34"/>
      <c r="T166" s="34"/>
      <c r="U166" s="34"/>
      <c r="V166" s="34"/>
      <c r="W166" s="37"/>
      <c r="X166" s="37"/>
      <c r="Y166" s="34"/>
      <c r="Z166" s="36"/>
      <c r="AA166" s="36"/>
      <c r="AB166" s="36"/>
      <c r="AC166" s="36"/>
      <c r="AD166" s="36"/>
      <c r="AE166" s="36"/>
      <c r="AF166" s="36"/>
      <c r="AG166" s="36"/>
      <c r="AH166" s="36"/>
    </row>
    <row r="167">
      <c r="A167" s="37" t="s">
        <v>445</v>
      </c>
      <c r="B167" s="40" t="s">
        <v>446</v>
      </c>
      <c r="C167" s="37" t="s">
        <v>447</v>
      </c>
      <c r="D167" s="39" t="str">
        <f>IFERROR(__xludf.DUMMYFUNCTION("GOOGLETRANSLATE(C167,""en"",""fr"")"),"Avez-vous administré 1 comprimé de nifédipine 20 mg ?")</f>
        <v>Avez-vous administré 1 comprimé de nifédipine 20 mg ?</v>
      </c>
      <c r="E167" s="39" t="str">
        <f>IFERROR(__xludf.DUMMYFUNCTION("GOOGLETRANSLATE(C167,""en"",""ht"")"),"Èske ou te administre 1 Nifedipine 20mg?")</f>
        <v>Èske ou te administre 1 Nifedipine 20mg?</v>
      </c>
      <c r="F167" s="34"/>
      <c r="G167" s="34"/>
      <c r="H167" s="34"/>
      <c r="I167" s="34"/>
      <c r="J167" s="34"/>
      <c r="K167" s="34"/>
      <c r="L167" s="34"/>
      <c r="M167" s="34"/>
      <c r="N167" s="34"/>
      <c r="O167" s="34"/>
      <c r="P167" s="34"/>
      <c r="Q167" s="34"/>
      <c r="R167" s="34"/>
      <c r="S167" s="34"/>
      <c r="T167" s="37"/>
      <c r="U167" s="37"/>
      <c r="V167" s="37"/>
      <c r="W167" s="37"/>
      <c r="X167" s="37" t="s">
        <v>448</v>
      </c>
      <c r="Y167" s="34"/>
      <c r="Z167" s="36"/>
      <c r="AA167" s="36"/>
      <c r="AB167" s="36"/>
      <c r="AC167" s="36"/>
      <c r="AD167" s="36"/>
      <c r="AE167" s="36"/>
      <c r="AF167" s="36"/>
      <c r="AG167" s="36"/>
      <c r="AH167" s="36"/>
    </row>
    <row r="168">
      <c r="A168" s="37" t="s">
        <v>102</v>
      </c>
      <c r="B168" s="40" t="s">
        <v>449</v>
      </c>
      <c r="C168" s="37" t="s">
        <v>54</v>
      </c>
      <c r="D168" s="39" t="str">
        <f>IFERROR(__xludf.DUMMYFUNCTION("GOOGLETRANSLATE(C168,""en"",""fr"")"),"SANS ÉTIQUETTE")</f>
        <v>SANS ÉTIQUETTE</v>
      </c>
      <c r="E168" s="39" t="str">
        <f>IFERROR(__xludf.DUMMYFUNCTION("GOOGLETRANSLATE(C168,""en"",""ht"")"),"PA GEN_ETIKÈT")</f>
        <v>PA GEN_ETIKÈT</v>
      </c>
      <c r="F168" s="34"/>
      <c r="G168" s="34"/>
      <c r="H168" s="34"/>
      <c r="I168" s="34"/>
      <c r="J168" s="34"/>
      <c r="K168" s="34"/>
      <c r="L168" s="34"/>
      <c r="M168" s="34"/>
      <c r="N168" s="34"/>
      <c r="O168" s="34"/>
      <c r="P168" s="34"/>
      <c r="Q168" s="37" t="s">
        <v>450</v>
      </c>
      <c r="R168" s="34"/>
      <c r="S168" s="34"/>
      <c r="T168" s="34"/>
      <c r="U168" s="34"/>
      <c r="V168" s="34"/>
      <c r="W168" s="34"/>
      <c r="X168" s="34"/>
      <c r="Y168" s="34"/>
      <c r="Z168" s="36"/>
      <c r="AA168" s="36"/>
      <c r="AB168" s="36"/>
      <c r="AC168" s="36"/>
      <c r="AD168" s="36"/>
      <c r="AE168" s="36"/>
      <c r="AF168" s="36"/>
      <c r="AG168" s="36"/>
      <c r="AH168" s="36"/>
    </row>
    <row r="169">
      <c r="A169" s="37" t="s">
        <v>451</v>
      </c>
      <c r="B169" s="40" t="s">
        <v>452</v>
      </c>
      <c r="C169" s="37" t="s">
        <v>453</v>
      </c>
      <c r="D169" s="39" t="str">
        <f>IFERROR(__xludf.DUMMYFUNCTION("GOOGLETRANSLATE(C169,""en"",""fr"")"),"Vous avez laissé au moins une confirmation de médicament vide. Si cela est intentionnel, veuillez indiquer pourquoi ci-dessous.")</f>
        <v>Vous avez laissé au moins une confirmation de médicament vide. Si cela est intentionnel, veuillez indiquer pourquoi ci-dessous.</v>
      </c>
      <c r="E169" s="39" t="str">
        <f>IFERROR(__xludf.DUMMYFUNCTION("GOOGLETRANSLATE(C169,""en"",""ht"")"),"Ou kite omwen yon konfimasyon medikaman vid. Si se espre, ekri poukisa anba a.")</f>
        <v>Ou kite omwen yon konfimasyon medikaman vid. Si se espre, ekri poukisa anba a.</v>
      </c>
      <c r="F169" s="37" t="s">
        <v>454</v>
      </c>
      <c r="G169" s="39" t="str">
        <f>IFERROR(__xludf.DUMMYFUNCTION("GOOGLETRANSLATE(F169,""en"",""fr"")"),"Si vous avez distribué une quantité différente de médicaments, notez combien.")</f>
        <v>Si vous avez distribué une quantité différente de médicaments, notez combien.</v>
      </c>
      <c r="H169" s="39" t="str">
        <f>IFERROR(__xludf.DUMMYFUNCTION("GOOGLETRANSLATE(F169,""en"",""ht"")"),"Si ou te distribye yon kantite dwòg diferan, anrejistre konbyen.")</f>
        <v>Si ou te distribye yon kantite dwòg diferan, anrejistre konbyen.</v>
      </c>
      <c r="I169" s="37" t="s">
        <v>68</v>
      </c>
      <c r="J169" s="37" t="s">
        <v>455</v>
      </c>
      <c r="K169" s="34"/>
      <c r="L169" s="34"/>
      <c r="M169" s="34"/>
      <c r="N169" s="34"/>
      <c r="O169" s="34"/>
      <c r="P169" s="34"/>
      <c r="Q169" s="34"/>
      <c r="R169" s="34"/>
      <c r="S169" s="34"/>
      <c r="T169" s="34"/>
      <c r="U169" s="34"/>
      <c r="V169" s="34"/>
      <c r="W169" s="34"/>
      <c r="X169" s="34"/>
      <c r="Y169" s="34"/>
      <c r="Z169" s="36"/>
      <c r="AA169" s="36"/>
      <c r="AB169" s="36"/>
      <c r="AC169" s="36"/>
      <c r="AD169" s="36"/>
      <c r="AE169" s="36"/>
      <c r="AF169" s="36"/>
      <c r="AG169" s="36"/>
      <c r="AH169" s="36"/>
    </row>
    <row r="170">
      <c r="A170" s="37" t="s">
        <v>451</v>
      </c>
      <c r="B170" s="40" t="s">
        <v>456</v>
      </c>
      <c r="C170" s="37" t="s">
        <v>457</v>
      </c>
      <c r="D170" s="39" t="str">
        <f>IFERROR(__xludf.DUMMYFUNCTION("GOOGLETRANSLATE(C170,""en"",""fr"")"),"Notes cliniques :")</f>
        <v>Notes cliniques :</v>
      </c>
      <c r="E170" s="39" t="str">
        <f>IFERROR(__xludf.DUMMYFUNCTION("GOOGLETRANSLATE(C170,""en"",""ht"")"),"Nòt klinik:")</f>
        <v>Nòt klinik:</v>
      </c>
      <c r="F170" s="34"/>
      <c r="G170" s="34"/>
      <c r="H170" s="34"/>
      <c r="I170" s="34"/>
      <c r="J170" s="34"/>
      <c r="K170" s="34"/>
      <c r="L170" s="34"/>
      <c r="M170" s="34"/>
      <c r="N170" s="34"/>
      <c r="O170" s="34"/>
      <c r="P170" s="34"/>
      <c r="Q170" s="34"/>
      <c r="R170" s="34"/>
      <c r="S170" s="34"/>
      <c r="T170" s="34"/>
      <c r="U170" s="34"/>
      <c r="V170" s="34"/>
      <c r="W170" s="34"/>
      <c r="X170" s="34"/>
      <c r="Y170" s="34"/>
      <c r="Z170" s="36"/>
      <c r="AA170" s="36"/>
      <c r="AB170" s="36"/>
      <c r="AC170" s="36"/>
      <c r="AD170" s="36"/>
      <c r="AE170" s="36"/>
      <c r="AF170" s="36"/>
      <c r="AG170" s="36"/>
      <c r="AH170" s="36"/>
    </row>
    <row r="171">
      <c r="A171" s="37" t="s">
        <v>82</v>
      </c>
      <c r="B171" s="46" t="s">
        <v>436</v>
      </c>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6"/>
      <c r="AA171" s="36"/>
      <c r="AB171" s="36"/>
      <c r="AC171" s="36"/>
      <c r="AD171" s="36"/>
      <c r="AE171" s="36"/>
      <c r="AF171" s="36"/>
      <c r="AG171" s="36"/>
      <c r="AH171" s="36"/>
    </row>
    <row r="172">
      <c r="A172" s="37" t="s">
        <v>49</v>
      </c>
      <c r="B172" s="40" t="s">
        <v>458</v>
      </c>
      <c r="C172" s="37" t="s">
        <v>319</v>
      </c>
      <c r="D172" s="37" t="s">
        <v>459</v>
      </c>
      <c r="E172" s="37" t="s">
        <v>460</v>
      </c>
      <c r="F172" s="34"/>
      <c r="G172" s="34"/>
      <c r="H172" s="34"/>
      <c r="I172" s="34"/>
      <c r="J172" s="37" t="s">
        <v>320</v>
      </c>
      <c r="K172" s="37" t="s">
        <v>58</v>
      </c>
      <c r="L172" s="34"/>
      <c r="M172" s="34"/>
      <c r="N172" s="34"/>
      <c r="O172" s="34"/>
      <c r="P172" s="34"/>
      <c r="Q172" s="34"/>
      <c r="R172" s="34"/>
      <c r="S172" s="34"/>
      <c r="T172" s="34"/>
      <c r="U172" s="34"/>
      <c r="V172" s="34"/>
      <c r="W172" s="34"/>
      <c r="X172" s="34"/>
      <c r="Y172" s="34"/>
      <c r="Z172" s="36"/>
      <c r="AA172" s="36"/>
      <c r="AB172" s="36"/>
      <c r="AC172" s="36"/>
      <c r="AD172" s="36"/>
      <c r="AE172" s="36"/>
      <c r="AF172" s="36"/>
      <c r="AG172" s="36"/>
      <c r="AH172" s="36"/>
    </row>
    <row r="173">
      <c r="A173" s="37" t="s">
        <v>38</v>
      </c>
      <c r="B173" s="40" t="s">
        <v>461</v>
      </c>
      <c r="C173" s="37" t="s">
        <v>462</v>
      </c>
      <c r="D173" s="39" t="str">
        <f>IFERROR(__xludf.DUMMYFUNCTION("GOOGLETRANSLATE(C173,""en"",""fr"")"),"La patiente présente un risque de fausse couche.")</f>
        <v>La patiente présente un risque de fausse couche.</v>
      </c>
      <c r="E173" s="39" t="str">
        <f>IFERROR(__xludf.DUMMYFUNCTION("GOOGLETRANSLATE(C173,""en"",""ht"")"),"Pasyan an menase fè foskouch")</f>
        <v>Pasyan an menase fè foskouch</v>
      </c>
      <c r="F173" s="34"/>
      <c r="G173" s="34"/>
      <c r="H173" s="34"/>
      <c r="I173" s="34"/>
      <c r="J173" s="34"/>
      <c r="K173" s="37" t="s">
        <v>197</v>
      </c>
      <c r="L173" s="34"/>
      <c r="M173" s="34"/>
      <c r="N173" s="34"/>
      <c r="O173" s="34"/>
      <c r="P173" s="34"/>
      <c r="Q173" s="34"/>
      <c r="R173" s="34"/>
      <c r="S173" s="34"/>
      <c r="T173" s="34"/>
      <c r="U173" s="34"/>
      <c r="V173" s="34"/>
      <c r="W173" s="34"/>
      <c r="X173" s="34"/>
      <c r="Y173" s="34"/>
      <c r="Z173" s="36"/>
      <c r="AA173" s="36"/>
      <c r="AB173" s="36"/>
      <c r="AC173" s="36"/>
      <c r="AD173" s="36"/>
      <c r="AE173" s="36"/>
      <c r="AF173" s="36"/>
      <c r="AG173" s="36"/>
      <c r="AH173" s="36"/>
    </row>
    <row r="174">
      <c r="A174" s="37" t="s">
        <v>38</v>
      </c>
      <c r="B174" s="40" t="s">
        <v>463</v>
      </c>
      <c r="C174" s="37" t="s">
        <v>464</v>
      </c>
      <c r="D174" s="39" t="str">
        <f>IFERROR(__xludf.DUMMYFUNCTION("GOOGLETRANSLATE(C174,""en"",""fr"")"),"Protocole :
- Administrer immédiatement 1 comprimé de nifédipine 20 mg
- Administrer immédiatement 1 comprimé de paracétamol 500 mg
- Orientation immédiate vers un hôpital.")</f>
        <v>Protocole :
- Administrer immédiatement 1 comprimé de nifédipine 20 mg
- Administrer immédiatement 1 comprimé de paracétamol 500 mg
- Orientation immédiate vers un hôpital.</v>
      </c>
      <c r="E174" s="39" t="str">
        <f>IFERROR(__xludf.DUMMYFUNCTION("GOOGLETRANSLATE(C174,""en"",""ht"")"),"Pwotokòl:
- Bay 1 Nifedipine 20mg imedyatman
- Bay 1 Parasetamol 500mg imedyatman
- Referans lopital imedyat.")</f>
        <v>Pwotokòl:
- Bay 1 Nifedipine 20mg imedyatman
- Bay 1 Parasetamol 500mg imedyatman
- Referans lopital imedyat.</v>
      </c>
      <c r="F174" s="34"/>
      <c r="G174" s="34"/>
      <c r="H174" s="34"/>
      <c r="I174" s="34"/>
      <c r="J174" s="34"/>
      <c r="K174" s="34"/>
      <c r="L174" s="34"/>
      <c r="M174" s="34"/>
      <c r="N174" s="34"/>
      <c r="O174" s="34"/>
      <c r="P174" s="34"/>
      <c r="Q174" s="34"/>
      <c r="R174" s="34"/>
      <c r="S174" s="34"/>
      <c r="T174" s="34"/>
      <c r="U174" s="34"/>
      <c r="V174" s="34"/>
      <c r="W174" s="34"/>
      <c r="X174" s="34"/>
      <c r="Y174" s="34"/>
      <c r="Z174" s="36"/>
      <c r="AA174" s="36"/>
      <c r="AB174" s="36"/>
      <c r="AC174" s="36"/>
      <c r="AD174" s="36"/>
      <c r="AE174" s="36"/>
      <c r="AF174" s="36"/>
      <c r="AG174" s="36"/>
      <c r="AH174" s="36"/>
    </row>
    <row r="175">
      <c r="A175" s="37" t="s">
        <v>38</v>
      </c>
      <c r="B175" s="40" t="s">
        <v>465</v>
      </c>
      <c r="C175" s="37" t="s">
        <v>444</v>
      </c>
      <c r="D175" s="39" t="str">
        <f>IFERROR(__xludf.DUMMYFUNCTION("GOOGLETRANSLATE(C175,""en"",""fr"")"),"Accompagnement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175" s="39" t="str">
        <f>IFERROR(__xludf.DUMMYFUNCTION("GOOGLETRANSLATE(C175,""en"",""ht"")"),"Konsèy:
- (Konsèy TODO pa bay nan pwotokòl swen yo - ajoute kòm espas vid pou fidbak enfimyè yo)")</f>
        <v>Konsèy:
- (Konsèy TODO pa bay nan pwotokòl swen yo - ajoute kòm espas vid pou fidbak enfimyè yo)</v>
      </c>
      <c r="F175" s="34"/>
      <c r="G175" s="34"/>
      <c r="H175" s="34"/>
      <c r="I175" s="34"/>
      <c r="J175" s="34"/>
      <c r="K175" s="34"/>
      <c r="L175" s="34"/>
      <c r="M175" s="34"/>
      <c r="N175" s="34"/>
      <c r="O175" s="34"/>
      <c r="P175" s="34"/>
      <c r="Q175" s="34"/>
      <c r="R175" s="34"/>
      <c r="S175" s="34"/>
      <c r="T175" s="34"/>
      <c r="U175" s="34"/>
      <c r="V175" s="34"/>
      <c r="W175" s="34"/>
      <c r="X175" s="34"/>
      <c r="Y175" s="34"/>
      <c r="Z175" s="36"/>
      <c r="AA175" s="36"/>
      <c r="AB175" s="36"/>
      <c r="AC175" s="36"/>
      <c r="AD175" s="36"/>
      <c r="AE175" s="36"/>
      <c r="AF175" s="36"/>
      <c r="AG175" s="36"/>
      <c r="AH175" s="36"/>
    </row>
    <row r="176">
      <c r="A176" s="37" t="s">
        <v>445</v>
      </c>
      <c r="B176" s="40" t="s">
        <v>466</v>
      </c>
      <c r="C176" s="37" t="s">
        <v>447</v>
      </c>
      <c r="D176" s="39" t="str">
        <f>IFERROR(__xludf.DUMMYFUNCTION("GOOGLETRANSLATE(C176,""en"",""fr"")"),"Avez-vous administré 1 comprimé de nifédipine 20 mg ?")</f>
        <v>Avez-vous administré 1 comprimé de nifédipine 20 mg ?</v>
      </c>
      <c r="E176" s="39" t="str">
        <f>IFERROR(__xludf.DUMMYFUNCTION("GOOGLETRANSLATE(C176,""en"",""ht"")"),"Èske ou te administre 1 Nifedipine 20mg?")</f>
        <v>Èske ou te administre 1 Nifedipine 20mg?</v>
      </c>
      <c r="F176" s="34"/>
      <c r="G176" s="34"/>
      <c r="H176" s="34"/>
      <c r="I176" s="34"/>
      <c r="J176" s="34"/>
      <c r="K176" s="34"/>
      <c r="L176" s="34"/>
      <c r="M176" s="34"/>
      <c r="N176" s="34"/>
      <c r="O176" s="34"/>
      <c r="P176" s="34"/>
      <c r="Q176" s="34"/>
      <c r="R176" s="34"/>
      <c r="S176" s="34"/>
      <c r="T176" s="34"/>
      <c r="U176" s="34"/>
      <c r="V176" s="34"/>
      <c r="W176" s="34"/>
      <c r="X176" s="34"/>
      <c r="Y176" s="34"/>
      <c r="Z176" s="36"/>
      <c r="AA176" s="36"/>
      <c r="AB176" s="36"/>
      <c r="AC176" s="36"/>
      <c r="AD176" s="36"/>
      <c r="AE176" s="36"/>
      <c r="AF176" s="36"/>
      <c r="AG176" s="36"/>
      <c r="AH176" s="36"/>
    </row>
    <row r="177">
      <c r="A177" s="37" t="s">
        <v>102</v>
      </c>
      <c r="B177" s="40" t="s">
        <v>467</v>
      </c>
      <c r="C177" s="37" t="s">
        <v>54</v>
      </c>
      <c r="D177" s="39" t="str">
        <f>IFERROR(__xludf.DUMMYFUNCTION("GOOGLETRANSLATE(C177,""en"",""fr"")"),"SANS ÉTIQUETTE")</f>
        <v>SANS ÉTIQUETTE</v>
      </c>
      <c r="E177" s="39" t="str">
        <f>IFERROR(__xludf.DUMMYFUNCTION("GOOGLETRANSLATE(C177,""en"",""ht"")"),"PA GEN_ETIKÈT")</f>
        <v>PA GEN_ETIKÈT</v>
      </c>
      <c r="F177" s="34"/>
      <c r="G177" s="34"/>
      <c r="H177" s="34"/>
      <c r="I177" s="34"/>
      <c r="J177" s="34"/>
      <c r="K177" s="34"/>
      <c r="L177" s="34"/>
      <c r="M177" s="34"/>
      <c r="N177" s="34"/>
      <c r="O177" s="34"/>
      <c r="P177" s="37"/>
      <c r="Q177" s="37" t="s">
        <v>468</v>
      </c>
      <c r="R177" s="34"/>
      <c r="S177" s="34"/>
      <c r="T177" s="34"/>
      <c r="U177" s="34"/>
      <c r="V177" s="34"/>
      <c r="W177" s="34"/>
      <c r="X177" s="37" t="s">
        <v>448</v>
      </c>
      <c r="Y177" s="34"/>
      <c r="Z177" s="36"/>
      <c r="AA177" s="36"/>
      <c r="AB177" s="36"/>
      <c r="AC177" s="36"/>
      <c r="AD177" s="36"/>
      <c r="AE177" s="36"/>
      <c r="AF177" s="36"/>
      <c r="AG177" s="36"/>
      <c r="AH177" s="36"/>
    </row>
    <row r="178">
      <c r="A178" s="37" t="s">
        <v>445</v>
      </c>
      <c r="B178" s="40" t="s">
        <v>469</v>
      </c>
      <c r="C178" s="37" t="s">
        <v>470</v>
      </c>
      <c r="D178" s="39" t="str">
        <f>IFERROR(__xludf.DUMMYFUNCTION("GOOGLETRANSLATE(C178,""en"",""fr"")"),"Avez-vous administré 1 comprimé de paracétamol de 500 mg ?")</f>
        <v>Avez-vous administré 1 comprimé de paracétamol de 500 mg ?</v>
      </c>
      <c r="E178" s="39" t="str">
        <f>IFERROR(__xludf.DUMMYFUNCTION("GOOGLETRANSLATE(C178,""en"",""ht"")"),"Èske ou te ba ou 1 Parasetamol 500mg?")</f>
        <v>Èske ou te ba ou 1 Parasetamol 500mg?</v>
      </c>
      <c r="F178" s="34"/>
      <c r="G178" s="34"/>
      <c r="H178" s="34"/>
      <c r="I178" s="34"/>
      <c r="J178" s="34"/>
      <c r="K178" s="34"/>
      <c r="L178" s="34"/>
      <c r="M178" s="34"/>
      <c r="N178" s="34"/>
      <c r="O178" s="34"/>
      <c r="P178" s="34"/>
      <c r="Q178" s="34"/>
      <c r="R178" s="34"/>
      <c r="S178" s="34"/>
      <c r="T178" s="34"/>
      <c r="U178" s="34"/>
      <c r="V178" s="34"/>
      <c r="W178" s="34"/>
      <c r="X178" s="34"/>
      <c r="Y178" s="34"/>
      <c r="Z178" s="36"/>
      <c r="AA178" s="36"/>
      <c r="AB178" s="36"/>
      <c r="AC178" s="36"/>
      <c r="AD178" s="36"/>
      <c r="AE178" s="36"/>
      <c r="AF178" s="36"/>
      <c r="AG178" s="36"/>
      <c r="AH178" s="36"/>
    </row>
    <row r="179">
      <c r="A179" s="37" t="s">
        <v>102</v>
      </c>
      <c r="B179" s="40" t="s">
        <v>471</v>
      </c>
      <c r="C179" s="37" t="s">
        <v>54</v>
      </c>
      <c r="D179" s="39" t="str">
        <f>IFERROR(__xludf.DUMMYFUNCTION("GOOGLETRANSLATE(C179,""en"",""fr"")"),"SANS ÉTIQUETTE")</f>
        <v>SANS ÉTIQUETTE</v>
      </c>
      <c r="E179" s="39" t="str">
        <f>IFERROR(__xludf.DUMMYFUNCTION("GOOGLETRANSLATE(C179,""en"",""ht"")"),"PA GEN_ETIKÈT")</f>
        <v>PA GEN_ETIKÈT</v>
      </c>
      <c r="F179" s="34"/>
      <c r="G179" s="34"/>
      <c r="H179" s="34"/>
      <c r="I179" s="34"/>
      <c r="J179" s="34"/>
      <c r="K179" s="34"/>
      <c r="L179" s="34"/>
      <c r="M179" s="34"/>
      <c r="N179" s="34"/>
      <c r="O179" s="34"/>
      <c r="P179" s="37"/>
      <c r="Q179" s="37" t="s">
        <v>472</v>
      </c>
      <c r="R179" s="34"/>
      <c r="S179" s="34"/>
      <c r="T179" s="34"/>
      <c r="U179" s="34"/>
      <c r="V179" s="34"/>
      <c r="W179" s="34"/>
      <c r="X179" s="34"/>
      <c r="Y179" s="34"/>
      <c r="Z179" s="36"/>
      <c r="AA179" s="36"/>
      <c r="AB179" s="36"/>
      <c r="AC179" s="36"/>
      <c r="AD179" s="36"/>
      <c r="AE179" s="36"/>
      <c r="AF179" s="36"/>
      <c r="AG179" s="36"/>
      <c r="AH179" s="36"/>
    </row>
    <row r="180">
      <c r="A180" s="37" t="s">
        <v>451</v>
      </c>
      <c r="B180" s="40" t="s">
        <v>473</v>
      </c>
      <c r="C180" s="37" t="s">
        <v>453</v>
      </c>
      <c r="D180" s="39" t="str">
        <f>IFERROR(__xludf.DUMMYFUNCTION("GOOGLETRANSLATE(C180,""en"",""fr"")"),"Vous avez laissé au moins une confirmation de médicament vide. Si cela est intentionnel, veuillez indiquer pourquoi ci-dessous.")</f>
        <v>Vous avez laissé au moins une confirmation de médicament vide. Si cela est intentionnel, veuillez indiquer pourquoi ci-dessous.</v>
      </c>
      <c r="E180" s="39" t="str">
        <f>IFERROR(__xludf.DUMMYFUNCTION("GOOGLETRANSLATE(C180,""en"",""ht"")"),"Ou kite omwen yon konfimasyon medikaman vid. Si se espre, ekri poukisa anba a.")</f>
        <v>Ou kite omwen yon konfimasyon medikaman vid. Si se espre, ekri poukisa anba a.</v>
      </c>
      <c r="F180" s="37" t="s">
        <v>454</v>
      </c>
      <c r="G180" s="39" t="str">
        <f>IFERROR(__xludf.DUMMYFUNCTION("GOOGLETRANSLATE(F180,""en"",""fr"")"),"Si vous avez distribué une quantité différente de médicaments, notez combien.")</f>
        <v>Si vous avez distribué une quantité différente de médicaments, notez combien.</v>
      </c>
      <c r="H180" s="39" t="str">
        <f>IFERROR(__xludf.DUMMYFUNCTION("GOOGLETRANSLATE(F180,""en"",""ht"")"),"Si ou te distribye yon kantite dwòg diferan, anrejistre konbyen.")</f>
        <v>Si ou te distribye yon kantite dwòg diferan, anrejistre konbyen.</v>
      </c>
      <c r="I180" s="37" t="s">
        <v>68</v>
      </c>
      <c r="J180" s="37" t="s">
        <v>474</v>
      </c>
      <c r="K180" s="34"/>
      <c r="L180" s="34"/>
      <c r="M180" s="34"/>
      <c r="N180" s="34"/>
      <c r="O180" s="34"/>
      <c r="P180" s="34"/>
      <c r="Q180" s="34"/>
      <c r="R180" s="34"/>
      <c r="S180" s="34"/>
      <c r="T180" s="34"/>
      <c r="U180" s="34"/>
      <c r="V180" s="34"/>
      <c r="W180" s="34"/>
      <c r="X180" s="34"/>
      <c r="Y180" s="34"/>
      <c r="Z180" s="36"/>
      <c r="AA180" s="36"/>
      <c r="AB180" s="36"/>
      <c r="AC180" s="36"/>
      <c r="AD180" s="36"/>
      <c r="AE180" s="36"/>
      <c r="AF180" s="36"/>
      <c r="AG180" s="36"/>
      <c r="AH180" s="36"/>
    </row>
    <row r="181">
      <c r="A181" s="37" t="s">
        <v>451</v>
      </c>
      <c r="B181" s="40" t="s">
        <v>475</v>
      </c>
      <c r="C181" s="37" t="s">
        <v>457</v>
      </c>
      <c r="D181" s="39" t="str">
        <f>IFERROR(__xludf.DUMMYFUNCTION("GOOGLETRANSLATE(C181,""en"",""fr"")"),"Notes cliniques :")</f>
        <v>Notes cliniques :</v>
      </c>
      <c r="E181" s="39" t="str">
        <f>IFERROR(__xludf.DUMMYFUNCTION("GOOGLETRANSLATE(C181,""en"",""ht"")"),"Nòt klinik:")</f>
        <v>Nòt klinik:</v>
      </c>
      <c r="F181" s="34"/>
      <c r="G181" s="34"/>
      <c r="H181" s="34"/>
      <c r="I181" s="34"/>
      <c r="J181" s="34"/>
      <c r="K181" s="34"/>
      <c r="L181" s="34"/>
      <c r="M181" s="34"/>
      <c r="N181" s="34"/>
      <c r="O181" s="34"/>
      <c r="P181" s="34"/>
      <c r="Q181" s="34"/>
      <c r="R181" s="34"/>
      <c r="S181" s="34"/>
      <c r="T181" s="34"/>
      <c r="U181" s="34"/>
      <c r="V181" s="34"/>
      <c r="W181" s="34"/>
      <c r="X181" s="34"/>
      <c r="Y181" s="34"/>
      <c r="Z181" s="36"/>
      <c r="AA181" s="36"/>
      <c r="AB181" s="36"/>
      <c r="AC181" s="36"/>
      <c r="AD181" s="36"/>
      <c r="AE181" s="36"/>
      <c r="AF181" s="36"/>
      <c r="AG181" s="36"/>
      <c r="AH181" s="36"/>
    </row>
    <row r="182">
      <c r="A182" s="37" t="s">
        <v>82</v>
      </c>
      <c r="B182" s="40" t="s">
        <v>458</v>
      </c>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6"/>
      <c r="AA182" s="36"/>
      <c r="AB182" s="36"/>
      <c r="AC182" s="36"/>
      <c r="AD182" s="36"/>
      <c r="AE182" s="36"/>
      <c r="AF182" s="36"/>
      <c r="AG182" s="36"/>
      <c r="AH182" s="36"/>
    </row>
    <row r="183">
      <c r="A183" s="37" t="s">
        <v>49</v>
      </c>
      <c r="B183" s="40" t="s">
        <v>476</v>
      </c>
      <c r="C183" s="37" t="s">
        <v>312</v>
      </c>
      <c r="D183" s="37" t="s">
        <v>477</v>
      </c>
      <c r="E183" s="37" t="s">
        <v>478</v>
      </c>
      <c r="F183" s="34"/>
      <c r="G183" s="34"/>
      <c r="H183" s="34"/>
      <c r="I183" s="34"/>
      <c r="J183" s="37" t="s">
        <v>313</v>
      </c>
      <c r="K183" s="37" t="s">
        <v>58</v>
      </c>
      <c r="L183" s="34"/>
      <c r="M183" s="34"/>
      <c r="N183" s="34"/>
      <c r="O183" s="34"/>
      <c r="P183" s="34"/>
      <c r="Q183" s="34"/>
      <c r="R183" s="34"/>
      <c r="S183" s="34"/>
      <c r="T183" s="34"/>
      <c r="U183" s="34"/>
      <c r="V183" s="34"/>
      <c r="W183" s="34"/>
      <c r="X183" s="34"/>
      <c r="Y183" s="34"/>
      <c r="Z183" s="36"/>
      <c r="AA183" s="36"/>
      <c r="AB183" s="36"/>
      <c r="AC183" s="36"/>
      <c r="AD183" s="36"/>
      <c r="AE183" s="36"/>
      <c r="AF183" s="36"/>
      <c r="AG183" s="36"/>
      <c r="AH183" s="36"/>
    </row>
    <row r="184">
      <c r="A184" s="37" t="s">
        <v>38</v>
      </c>
      <c r="B184" s="40" t="s">
        <v>479</v>
      </c>
      <c r="C184" s="37" t="s">
        <v>480</v>
      </c>
      <c r="D184" s="39" t="str">
        <f>IFERROR(__xludf.DUMMYFUNCTION("GOOGLETRANSLATE(C184,""en"",""fr"")"),"La patiente présente un risque de fausse couche.")</f>
        <v>La patiente présente un risque de fausse couche.</v>
      </c>
      <c r="E184" s="39" t="str">
        <f>IFERROR(__xludf.DUMMYFUNCTION("GOOGLETRANSLATE(C184,""en"",""ht"")"),"Pasyan an menase fè foskouch")</f>
        <v>Pasyan an menase fè foskouch</v>
      </c>
      <c r="F184" s="34"/>
      <c r="G184" s="34"/>
      <c r="H184" s="34"/>
      <c r="I184" s="34"/>
      <c r="J184" s="34"/>
      <c r="K184" s="37" t="s">
        <v>197</v>
      </c>
      <c r="L184" s="34"/>
      <c r="M184" s="34"/>
      <c r="N184" s="34"/>
      <c r="O184" s="34"/>
      <c r="P184" s="34"/>
      <c r="Q184" s="34"/>
      <c r="R184" s="34"/>
      <c r="S184" s="34"/>
      <c r="T184" s="34"/>
      <c r="U184" s="34"/>
      <c r="V184" s="34"/>
      <c r="W184" s="34"/>
      <c r="X184" s="34"/>
      <c r="Y184" s="34"/>
      <c r="Z184" s="36"/>
      <c r="AA184" s="36"/>
      <c r="AB184" s="36"/>
      <c r="AC184" s="36"/>
      <c r="AD184" s="36"/>
      <c r="AE184" s="36"/>
      <c r="AF184" s="36"/>
      <c r="AG184" s="36"/>
      <c r="AH184" s="36"/>
    </row>
    <row r="185">
      <c r="A185" s="37" t="s">
        <v>38</v>
      </c>
      <c r="B185" s="40" t="s">
        <v>481</v>
      </c>
      <c r="C185" s="37" t="s">
        <v>482</v>
      </c>
      <c r="D185" s="39" t="str">
        <f>IFERROR(__xludf.DUMMYFUNCTION("GOOGLETRANSLATE(C185,""en"",""fr"")"),"Protocole :
- Administrer immédiatement 1 comprimé de paracétamol 500 mg
- Se rendre immédiatement à l’hôpital")</f>
        <v>Protocole :
- Administrer immédiatement 1 comprimé de paracétamol 500 mg
- Se rendre immédiatement à l’hôpital</v>
      </c>
      <c r="E185" s="39" t="str">
        <f>IFERROR(__xludf.DUMMYFUNCTION("GOOGLETRANSLATE(C185,""en"",""ht"")"),"Pwotokòl:
- Administre 1 Parasetamol 500mg imedyatman
- Voye lopital la imedyatman")</f>
        <v>Pwotokòl:
- Administre 1 Parasetamol 500mg imedyatman
- Voye lopital la imedyatman</v>
      </c>
      <c r="F185" s="34"/>
      <c r="G185" s="34"/>
      <c r="H185" s="34"/>
      <c r="I185" s="34"/>
      <c r="J185" s="34"/>
      <c r="K185" s="34"/>
      <c r="L185" s="34"/>
      <c r="M185" s="34"/>
      <c r="N185" s="34"/>
      <c r="O185" s="34"/>
      <c r="P185" s="34"/>
      <c r="Q185" s="34"/>
      <c r="R185" s="34"/>
      <c r="S185" s="34"/>
      <c r="T185" s="34"/>
      <c r="U185" s="34"/>
      <c r="V185" s="34"/>
      <c r="W185" s="34"/>
      <c r="X185" s="34"/>
      <c r="Y185" s="34"/>
      <c r="Z185" s="36"/>
      <c r="AA185" s="36"/>
      <c r="AB185" s="36"/>
      <c r="AC185" s="36"/>
      <c r="AD185" s="36"/>
      <c r="AE185" s="36"/>
      <c r="AF185" s="36"/>
      <c r="AG185" s="36"/>
      <c r="AH185" s="36"/>
    </row>
    <row r="186">
      <c r="A186" s="37" t="s">
        <v>38</v>
      </c>
      <c r="B186" s="40" t="s">
        <v>483</v>
      </c>
      <c r="C186" s="37" t="s">
        <v>444</v>
      </c>
      <c r="D186" s="39" t="str">
        <f>IFERROR(__xludf.DUMMYFUNCTION("GOOGLETRANSLATE(C186,""en"",""fr"")"),"Accompagnement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186" s="39" t="str">
        <f>IFERROR(__xludf.DUMMYFUNCTION("GOOGLETRANSLATE(C186,""en"",""ht"")"),"Konsèy:
- (Konsèy TODO pa bay nan pwotokòl swen yo - ajoute kòm espas vid pou fidbak enfimyè yo)")</f>
        <v>Konsèy:
- (Konsèy TODO pa bay nan pwotokòl swen yo - ajoute kòm espas vid pou fidbak enfimyè yo)</v>
      </c>
      <c r="F186" s="34"/>
      <c r="G186" s="34"/>
      <c r="H186" s="34"/>
      <c r="I186" s="34"/>
      <c r="J186" s="34"/>
      <c r="K186" s="34"/>
      <c r="L186" s="34"/>
      <c r="M186" s="34"/>
      <c r="N186" s="34"/>
      <c r="O186" s="34"/>
      <c r="P186" s="34"/>
      <c r="Q186" s="34"/>
      <c r="R186" s="34"/>
      <c r="S186" s="34"/>
      <c r="T186" s="34"/>
      <c r="U186" s="34"/>
      <c r="V186" s="34"/>
      <c r="W186" s="34"/>
      <c r="X186" s="34"/>
      <c r="Y186" s="34"/>
      <c r="Z186" s="36"/>
      <c r="AA186" s="36"/>
      <c r="AB186" s="36"/>
      <c r="AC186" s="36"/>
      <c r="AD186" s="36"/>
      <c r="AE186" s="36"/>
      <c r="AF186" s="36"/>
      <c r="AG186" s="36"/>
      <c r="AH186" s="36"/>
    </row>
    <row r="187">
      <c r="A187" s="37" t="s">
        <v>445</v>
      </c>
      <c r="B187" s="40" t="s">
        <v>484</v>
      </c>
      <c r="C187" s="37" t="s">
        <v>470</v>
      </c>
      <c r="D187" s="39" t="str">
        <f>IFERROR(__xludf.DUMMYFUNCTION("GOOGLETRANSLATE(C187,""en"",""fr"")"),"Avez-vous administré 1 comprimé de paracétamol de 500 mg ?")</f>
        <v>Avez-vous administré 1 comprimé de paracétamol de 500 mg ?</v>
      </c>
      <c r="E187" s="39" t="str">
        <f>IFERROR(__xludf.DUMMYFUNCTION("GOOGLETRANSLATE(C187,""en"",""ht"")"),"Èske ou te ba ou 1 Parasetamol 500mg?")</f>
        <v>Èske ou te ba ou 1 Parasetamol 500mg?</v>
      </c>
      <c r="F187" s="34"/>
      <c r="G187" s="34"/>
      <c r="H187" s="34"/>
      <c r="I187" s="34"/>
      <c r="J187" s="34"/>
      <c r="K187" s="34"/>
      <c r="L187" s="34"/>
      <c r="M187" s="34"/>
      <c r="N187" s="34"/>
      <c r="O187" s="34"/>
      <c r="P187" s="34"/>
      <c r="Q187" s="34"/>
      <c r="R187" s="34"/>
      <c r="S187" s="34"/>
      <c r="T187" s="34"/>
      <c r="U187" s="34"/>
      <c r="V187" s="34"/>
      <c r="W187" s="34"/>
      <c r="X187" s="34"/>
      <c r="Y187" s="34"/>
      <c r="Z187" s="36"/>
      <c r="AA187" s="36"/>
      <c r="AB187" s="36"/>
      <c r="AC187" s="36"/>
      <c r="AD187" s="36"/>
      <c r="AE187" s="36"/>
      <c r="AF187" s="36"/>
      <c r="AG187" s="36"/>
      <c r="AH187" s="36"/>
    </row>
    <row r="188">
      <c r="A188" s="37" t="s">
        <v>102</v>
      </c>
      <c r="B188" s="40" t="s">
        <v>485</v>
      </c>
      <c r="C188" s="37" t="s">
        <v>54</v>
      </c>
      <c r="D188" s="39" t="str">
        <f>IFERROR(__xludf.DUMMYFUNCTION("GOOGLETRANSLATE(C188,""en"",""fr"")"),"SANS ÉTIQUETTE")</f>
        <v>SANS ÉTIQUETTE</v>
      </c>
      <c r="E188" s="39" t="str">
        <f>IFERROR(__xludf.DUMMYFUNCTION("GOOGLETRANSLATE(C188,""en"",""ht"")"),"PA GEN_ETIKÈT")</f>
        <v>PA GEN_ETIKÈT</v>
      </c>
      <c r="F188" s="34"/>
      <c r="G188" s="34"/>
      <c r="H188" s="34"/>
      <c r="I188" s="34"/>
      <c r="J188" s="34"/>
      <c r="K188" s="34"/>
      <c r="L188" s="34"/>
      <c r="M188" s="34"/>
      <c r="N188" s="34"/>
      <c r="O188" s="34"/>
      <c r="P188" s="37"/>
      <c r="Q188" s="37" t="s">
        <v>486</v>
      </c>
      <c r="R188" s="34"/>
      <c r="S188" s="34"/>
      <c r="T188" s="34"/>
      <c r="U188" s="34"/>
      <c r="V188" s="34"/>
      <c r="W188" s="34"/>
      <c r="X188" s="34"/>
      <c r="Y188" s="34"/>
      <c r="Z188" s="36"/>
      <c r="AA188" s="36"/>
      <c r="AB188" s="36"/>
      <c r="AC188" s="36"/>
      <c r="AD188" s="36"/>
      <c r="AE188" s="36"/>
      <c r="AF188" s="36"/>
      <c r="AG188" s="36"/>
      <c r="AH188" s="36"/>
    </row>
    <row r="189">
      <c r="A189" s="37" t="s">
        <v>451</v>
      </c>
      <c r="B189" s="40" t="s">
        <v>487</v>
      </c>
      <c r="C189" s="37" t="s">
        <v>453</v>
      </c>
      <c r="D189" s="39" t="str">
        <f>IFERROR(__xludf.DUMMYFUNCTION("GOOGLETRANSLATE(C189,""en"",""fr"")"),"Vous avez laissé au moins une confirmation de médicament vide. Si cela est intentionnel, veuillez indiquer pourquoi ci-dessous.")</f>
        <v>Vous avez laissé au moins une confirmation de médicament vide. Si cela est intentionnel, veuillez indiquer pourquoi ci-dessous.</v>
      </c>
      <c r="E189" s="39" t="str">
        <f>IFERROR(__xludf.DUMMYFUNCTION("GOOGLETRANSLATE(C189,""en"",""ht"")"),"Ou kite omwen yon konfimasyon medikaman vid. Si se espre, ekri poukisa anba a.")</f>
        <v>Ou kite omwen yon konfimasyon medikaman vid. Si se espre, ekri poukisa anba a.</v>
      </c>
      <c r="F189" s="37" t="s">
        <v>454</v>
      </c>
      <c r="G189" s="39" t="str">
        <f>IFERROR(__xludf.DUMMYFUNCTION("GOOGLETRANSLATE(F189,""en"",""fr"")"),"Si vous avez distribué une quantité différente de médicaments, notez combien.")</f>
        <v>Si vous avez distribué une quantité différente de médicaments, notez combien.</v>
      </c>
      <c r="H189" s="39" t="str">
        <f>IFERROR(__xludf.DUMMYFUNCTION("GOOGLETRANSLATE(F189,""en"",""ht"")"),"Si ou te distribye yon kantite dwòg diferan, anrejistre konbyen.")</f>
        <v>Si ou te distribye yon kantite dwòg diferan, anrejistre konbyen.</v>
      </c>
      <c r="I189" s="37" t="s">
        <v>68</v>
      </c>
      <c r="J189" s="37" t="s">
        <v>488</v>
      </c>
      <c r="K189" s="34"/>
      <c r="L189" s="34"/>
      <c r="M189" s="34"/>
      <c r="N189" s="34"/>
      <c r="O189" s="34"/>
      <c r="P189" s="34"/>
      <c r="Q189" s="34"/>
      <c r="R189" s="34"/>
      <c r="S189" s="34"/>
      <c r="T189" s="34"/>
      <c r="U189" s="34"/>
      <c r="V189" s="34"/>
      <c r="W189" s="34"/>
      <c r="X189" s="34"/>
      <c r="Y189" s="34"/>
      <c r="Z189" s="36"/>
      <c r="AA189" s="36"/>
      <c r="AB189" s="36"/>
      <c r="AC189" s="36"/>
      <c r="AD189" s="36"/>
      <c r="AE189" s="36"/>
      <c r="AF189" s="36"/>
      <c r="AG189" s="36"/>
      <c r="AH189" s="36"/>
    </row>
    <row r="190">
      <c r="A190" s="37" t="s">
        <v>451</v>
      </c>
      <c r="B190" s="40" t="s">
        <v>489</v>
      </c>
      <c r="C190" s="37" t="s">
        <v>457</v>
      </c>
      <c r="D190" s="39" t="str">
        <f>IFERROR(__xludf.DUMMYFUNCTION("GOOGLETRANSLATE(C190,""en"",""fr"")"),"Notes cliniques :")</f>
        <v>Notes cliniques :</v>
      </c>
      <c r="E190" s="39" t="str">
        <f>IFERROR(__xludf.DUMMYFUNCTION("GOOGLETRANSLATE(C190,""en"",""ht"")"),"Nòt klinik:")</f>
        <v>Nòt klinik:</v>
      </c>
      <c r="F190" s="34"/>
      <c r="G190" s="34"/>
      <c r="H190" s="34"/>
      <c r="I190" s="34"/>
      <c r="J190" s="34"/>
      <c r="K190" s="34"/>
      <c r="L190" s="34"/>
      <c r="M190" s="34"/>
      <c r="N190" s="34"/>
      <c r="O190" s="34"/>
      <c r="P190" s="34"/>
      <c r="Q190" s="34"/>
      <c r="R190" s="34"/>
      <c r="S190" s="34"/>
      <c r="T190" s="34"/>
      <c r="U190" s="34"/>
      <c r="V190" s="34"/>
      <c r="W190" s="34"/>
      <c r="X190" s="34"/>
      <c r="Y190" s="34"/>
      <c r="Z190" s="36"/>
      <c r="AA190" s="36"/>
      <c r="AB190" s="36"/>
      <c r="AC190" s="36"/>
      <c r="AD190" s="36"/>
      <c r="AE190" s="36"/>
      <c r="AF190" s="36"/>
      <c r="AG190" s="36"/>
      <c r="AH190" s="36"/>
    </row>
    <row r="191">
      <c r="A191" s="37" t="s">
        <v>82</v>
      </c>
      <c r="B191" s="40" t="s">
        <v>476</v>
      </c>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6"/>
      <c r="AA191" s="36"/>
      <c r="AB191" s="36"/>
      <c r="AC191" s="36"/>
      <c r="AD191" s="36"/>
      <c r="AE191" s="36"/>
      <c r="AF191" s="36"/>
      <c r="AG191" s="36"/>
      <c r="AH191" s="36"/>
    </row>
    <row r="192">
      <c r="A192" s="37" t="s">
        <v>49</v>
      </c>
      <c r="B192" s="40" t="s">
        <v>490</v>
      </c>
      <c r="C192" s="37" t="s">
        <v>294</v>
      </c>
      <c r="D192" s="37" t="s">
        <v>491</v>
      </c>
      <c r="E192" s="37" t="s">
        <v>492</v>
      </c>
      <c r="F192" s="34"/>
      <c r="G192" s="34"/>
      <c r="H192" s="34"/>
      <c r="I192" s="34"/>
      <c r="J192" s="37" t="s">
        <v>295</v>
      </c>
      <c r="K192" s="37" t="s">
        <v>58</v>
      </c>
      <c r="L192" s="34"/>
      <c r="M192" s="34"/>
      <c r="N192" s="34"/>
      <c r="O192" s="34"/>
      <c r="P192" s="34"/>
      <c r="Q192" s="34"/>
      <c r="R192" s="34"/>
      <c r="S192" s="34"/>
      <c r="T192" s="34"/>
      <c r="U192" s="34"/>
      <c r="V192" s="34"/>
      <c r="W192" s="34"/>
      <c r="X192" s="34"/>
      <c r="Y192" s="34"/>
      <c r="Z192" s="36"/>
      <c r="AA192" s="36"/>
      <c r="AB192" s="36"/>
      <c r="AC192" s="36"/>
      <c r="AD192" s="36"/>
      <c r="AE192" s="36"/>
      <c r="AF192" s="36"/>
      <c r="AG192" s="36"/>
      <c r="AH192" s="36"/>
    </row>
    <row r="193">
      <c r="A193" s="37" t="s">
        <v>38</v>
      </c>
      <c r="B193" s="40" t="s">
        <v>493</v>
      </c>
      <c r="C193" s="37" t="s">
        <v>494</v>
      </c>
      <c r="D193" s="39" t="str">
        <f>IFERROR(__xludf.DUMMYFUNCTION("GOOGLETRANSLATE(C193,""en"",""fr"")"),"La patiente présente une hypertension gestationnelle sévère.")</f>
        <v>La patiente présente une hypertension gestationnelle sévère.</v>
      </c>
      <c r="E193" s="39" t="str">
        <f>IFERROR(__xludf.DUMMYFUNCTION("GOOGLETRANSLATE(C193,""en"",""ht"")"),"Pasyan an gen tansyon wo grav pandan gwosès la.")</f>
        <v>Pasyan an gen tansyon wo grav pandan gwosès la.</v>
      </c>
      <c r="F193" s="34"/>
      <c r="G193" s="34"/>
      <c r="H193" s="34"/>
      <c r="I193" s="34"/>
      <c r="J193" s="34"/>
      <c r="K193" s="37" t="s">
        <v>197</v>
      </c>
      <c r="L193" s="34"/>
      <c r="M193" s="34"/>
      <c r="N193" s="34"/>
      <c r="O193" s="34"/>
      <c r="P193" s="34"/>
      <c r="Q193" s="34"/>
      <c r="R193" s="34"/>
      <c r="S193" s="34"/>
      <c r="T193" s="34"/>
      <c r="U193" s="34"/>
      <c r="V193" s="34"/>
      <c r="W193" s="34"/>
      <c r="X193" s="34"/>
      <c r="Y193" s="34"/>
      <c r="Z193" s="36"/>
      <c r="AA193" s="36"/>
      <c r="AB193" s="36"/>
      <c r="AC193" s="36"/>
      <c r="AD193" s="36"/>
      <c r="AE193" s="36"/>
      <c r="AF193" s="36"/>
      <c r="AG193" s="36"/>
      <c r="AH193" s="36"/>
    </row>
    <row r="194">
      <c r="A194" s="37" t="s">
        <v>38</v>
      </c>
      <c r="B194" s="40" t="s">
        <v>495</v>
      </c>
      <c r="C194" s="37" t="s">
        <v>496</v>
      </c>
      <c r="D194" s="39" t="str">
        <f>IFERROR(__xludf.DUMMYFUNCTION("GOOGLETRANSLATE(C194,""en"",""fr"")"),"Protocole :
- Administrer immédiatement 1 comprimé de nifédipine 20 mg
- Transférer immédiatement le patient à l’hôpital")</f>
        <v>Protocole :
- Administrer immédiatement 1 comprimé de nifédipine 20 mg
- Transférer immédiatement le patient à l’hôpital</v>
      </c>
      <c r="E194" s="39" t="str">
        <f>IFERROR(__xludf.DUMMYFUNCTION("GOOGLETRANSLATE(C194,""en"",""ht"")"),"Pwotokòl:
- Administre 1 Nifedipine 20mg imedyatman
- Voye lopital imedyatman")</f>
        <v>Pwotokòl:
- Administre 1 Nifedipine 20mg imedyatman
- Voye lopital imedyatman</v>
      </c>
      <c r="F194" s="34"/>
      <c r="G194" s="34"/>
      <c r="H194" s="34"/>
      <c r="I194" s="34"/>
      <c r="J194" s="34"/>
      <c r="K194" s="34"/>
      <c r="L194" s="34"/>
      <c r="M194" s="34"/>
      <c r="N194" s="34"/>
      <c r="O194" s="34"/>
      <c r="P194" s="34"/>
      <c r="Q194" s="34"/>
      <c r="R194" s="34"/>
      <c r="S194" s="34"/>
      <c r="T194" s="34"/>
      <c r="U194" s="34"/>
      <c r="V194" s="34"/>
      <c r="W194" s="34"/>
      <c r="X194" s="34"/>
      <c r="Y194" s="34"/>
      <c r="Z194" s="36"/>
      <c r="AA194" s="36"/>
      <c r="AB194" s="36"/>
      <c r="AC194" s="36"/>
      <c r="AD194" s="36"/>
      <c r="AE194" s="36"/>
      <c r="AF194" s="36"/>
      <c r="AG194" s="36"/>
      <c r="AH194" s="36"/>
    </row>
    <row r="195">
      <c r="A195" s="37" t="s">
        <v>38</v>
      </c>
      <c r="B195" s="40" t="s">
        <v>497</v>
      </c>
      <c r="C195" s="37" t="s">
        <v>444</v>
      </c>
      <c r="D195" s="39" t="str">
        <f>IFERROR(__xludf.DUMMYFUNCTION("GOOGLETRANSLATE(C195,""en"",""fr"")"),"Accompagnement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195" s="39" t="str">
        <f>IFERROR(__xludf.DUMMYFUNCTION("GOOGLETRANSLATE(C195,""en"",""ht"")"),"Konsèy:
- (Konsèy TODO pa bay nan pwotokòl swen yo - ajoute kòm espas vid pou fidbak enfimyè yo)")</f>
        <v>Konsèy:
- (Konsèy TODO pa bay nan pwotokòl swen yo - ajoute kòm espas vid pou fidbak enfimyè yo)</v>
      </c>
      <c r="F195" s="34"/>
      <c r="G195" s="34"/>
      <c r="H195" s="34"/>
      <c r="I195" s="34"/>
      <c r="J195" s="34"/>
      <c r="K195" s="34"/>
      <c r="L195" s="34"/>
      <c r="M195" s="34"/>
      <c r="N195" s="34"/>
      <c r="O195" s="34"/>
      <c r="P195" s="34"/>
      <c r="Q195" s="34"/>
      <c r="R195" s="34"/>
      <c r="S195" s="34"/>
      <c r="T195" s="34"/>
      <c r="U195" s="34"/>
      <c r="V195" s="34"/>
      <c r="W195" s="34"/>
      <c r="X195" s="34"/>
      <c r="Y195" s="34"/>
      <c r="Z195" s="36"/>
      <c r="AA195" s="36"/>
      <c r="AB195" s="36"/>
      <c r="AC195" s="36"/>
      <c r="AD195" s="36"/>
      <c r="AE195" s="36"/>
      <c r="AF195" s="36"/>
      <c r="AG195" s="36"/>
      <c r="AH195" s="36"/>
    </row>
    <row r="196">
      <c r="A196" s="37" t="s">
        <v>445</v>
      </c>
      <c r="B196" s="40" t="s">
        <v>498</v>
      </c>
      <c r="C196" s="37" t="s">
        <v>447</v>
      </c>
      <c r="D196" s="39" t="str">
        <f>IFERROR(__xludf.DUMMYFUNCTION("GOOGLETRANSLATE(C196,""en"",""fr"")"),"Avez-vous administré 1 comprimé de nifédipine 20 mg ?")</f>
        <v>Avez-vous administré 1 comprimé de nifédipine 20 mg ?</v>
      </c>
      <c r="E196" s="39" t="str">
        <f>IFERROR(__xludf.DUMMYFUNCTION("GOOGLETRANSLATE(C196,""en"",""ht"")"),"Èske ou te administre 1 Nifedipine 20mg?")</f>
        <v>Èske ou te administre 1 Nifedipine 20mg?</v>
      </c>
      <c r="F196" s="34"/>
      <c r="G196" s="34"/>
      <c r="H196" s="34"/>
      <c r="I196" s="34"/>
      <c r="J196" s="34"/>
      <c r="K196" s="34"/>
      <c r="L196" s="34"/>
      <c r="M196" s="34"/>
      <c r="N196" s="34"/>
      <c r="O196" s="34"/>
      <c r="P196" s="34"/>
      <c r="Q196" s="34"/>
      <c r="R196" s="34"/>
      <c r="S196" s="34"/>
      <c r="T196" s="34"/>
      <c r="U196" s="34"/>
      <c r="V196" s="34"/>
      <c r="W196" s="34"/>
      <c r="X196" s="34"/>
      <c r="Y196" s="34"/>
      <c r="Z196" s="36"/>
      <c r="AA196" s="36"/>
      <c r="AB196" s="36"/>
      <c r="AC196" s="36"/>
      <c r="AD196" s="36"/>
      <c r="AE196" s="36"/>
      <c r="AF196" s="36"/>
      <c r="AG196" s="36"/>
      <c r="AH196" s="36"/>
    </row>
    <row r="197">
      <c r="A197" s="37" t="s">
        <v>102</v>
      </c>
      <c r="B197" s="40" t="s">
        <v>499</v>
      </c>
      <c r="C197" s="37" t="s">
        <v>54</v>
      </c>
      <c r="D197" s="34"/>
      <c r="E197" s="34"/>
      <c r="F197" s="34"/>
      <c r="G197" s="34"/>
      <c r="H197" s="34"/>
      <c r="I197" s="34"/>
      <c r="J197" s="34"/>
      <c r="K197" s="34"/>
      <c r="L197" s="34"/>
      <c r="M197" s="34"/>
      <c r="N197" s="34"/>
      <c r="O197" s="34"/>
      <c r="P197" s="37"/>
      <c r="Q197" s="37" t="s">
        <v>500</v>
      </c>
      <c r="R197" s="34"/>
      <c r="S197" s="34"/>
      <c r="T197" s="34"/>
      <c r="U197" s="34"/>
      <c r="V197" s="34"/>
      <c r="W197" s="34"/>
      <c r="X197" s="34"/>
      <c r="Y197" s="34"/>
      <c r="Z197" s="36"/>
      <c r="AA197" s="36"/>
      <c r="AB197" s="36"/>
      <c r="AC197" s="36"/>
      <c r="AD197" s="36"/>
      <c r="AE197" s="36"/>
      <c r="AF197" s="36"/>
      <c r="AG197" s="36"/>
      <c r="AH197" s="36"/>
    </row>
    <row r="198">
      <c r="A198" s="37" t="s">
        <v>451</v>
      </c>
      <c r="B198" s="40" t="s">
        <v>501</v>
      </c>
      <c r="C198" s="37" t="s">
        <v>453</v>
      </c>
      <c r="D198" s="39" t="str">
        <f>IFERROR(__xludf.DUMMYFUNCTION("GOOGLETRANSLATE(C198,""en"",""fr"")"),"Vous avez laissé au moins une confirmation de médicament vide. Si cela est intentionnel, veuillez indiquer pourquoi ci-dessous.")</f>
        <v>Vous avez laissé au moins une confirmation de médicament vide. Si cela est intentionnel, veuillez indiquer pourquoi ci-dessous.</v>
      </c>
      <c r="E198" s="39" t="str">
        <f>IFERROR(__xludf.DUMMYFUNCTION("GOOGLETRANSLATE(C198,""en"",""ht"")"),"Ou kite omwen yon konfimasyon medikaman vid. Si se espre, ekri poukisa anba a.")</f>
        <v>Ou kite omwen yon konfimasyon medikaman vid. Si se espre, ekri poukisa anba a.</v>
      </c>
      <c r="F198" s="37" t="s">
        <v>454</v>
      </c>
      <c r="G198" s="39" t="str">
        <f>IFERROR(__xludf.DUMMYFUNCTION("GOOGLETRANSLATE(F198,""en"",""fr"")"),"Si vous avez distribué une quantité différente de médicaments, notez combien.")</f>
        <v>Si vous avez distribué une quantité différente de médicaments, notez combien.</v>
      </c>
      <c r="H198" s="39" t="str">
        <f>IFERROR(__xludf.DUMMYFUNCTION("GOOGLETRANSLATE(F198,""en"",""ht"")"),"Si ou te distribye yon kantite dwòg diferan, anrejistre konbyen.")</f>
        <v>Si ou te distribye yon kantite dwòg diferan, anrejistre konbyen.</v>
      </c>
      <c r="I198" s="37" t="s">
        <v>68</v>
      </c>
      <c r="J198" s="37" t="s">
        <v>502</v>
      </c>
      <c r="K198" s="34"/>
      <c r="L198" s="34"/>
      <c r="M198" s="34"/>
      <c r="N198" s="34"/>
      <c r="O198" s="34"/>
      <c r="P198" s="34"/>
      <c r="Q198" s="34"/>
      <c r="R198" s="34"/>
      <c r="S198" s="34"/>
      <c r="T198" s="34"/>
      <c r="U198" s="34"/>
      <c r="V198" s="34"/>
      <c r="W198" s="34"/>
      <c r="X198" s="34"/>
      <c r="Y198" s="34"/>
      <c r="Z198" s="36"/>
      <c r="AA198" s="36"/>
      <c r="AB198" s="36"/>
      <c r="AC198" s="36"/>
      <c r="AD198" s="36"/>
      <c r="AE198" s="36"/>
      <c r="AF198" s="36"/>
      <c r="AG198" s="36"/>
      <c r="AH198" s="36"/>
    </row>
    <row r="199">
      <c r="A199" s="37" t="s">
        <v>451</v>
      </c>
      <c r="B199" s="40" t="s">
        <v>503</v>
      </c>
      <c r="C199" s="37" t="s">
        <v>457</v>
      </c>
      <c r="D199" s="39" t="str">
        <f>IFERROR(__xludf.DUMMYFUNCTION("GOOGLETRANSLATE(C199,""en"",""fr"")"),"Notes cliniques :")</f>
        <v>Notes cliniques :</v>
      </c>
      <c r="E199" s="39" t="str">
        <f>IFERROR(__xludf.DUMMYFUNCTION("GOOGLETRANSLATE(C199,""en"",""ht"")"),"Nòt klinik:")</f>
        <v>Nòt klinik:</v>
      </c>
      <c r="F199" s="34"/>
      <c r="G199" s="34"/>
      <c r="H199" s="34"/>
      <c r="I199" s="34"/>
      <c r="J199" s="34"/>
      <c r="K199" s="34"/>
      <c r="L199" s="34"/>
      <c r="M199" s="34"/>
      <c r="N199" s="34"/>
      <c r="O199" s="34"/>
      <c r="P199" s="34"/>
      <c r="Q199" s="34"/>
      <c r="R199" s="34"/>
      <c r="S199" s="34"/>
      <c r="T199" s="34"/>
      <c r="U199" s="34"/>
      <c r="V199" s="34"/>
      <c r="W199" s="34"/>
      <c r="X199" s="34"/>
      <c r="Y199" s="34"/>
      <c r="Z199" s="36"/>
      <c r="AA199" s="36"/>
      <c r="AB199" s="36"/>
      <c r="AC199" s="36"/>
      <c r="AD199" s="36"/>
      <c r="AE199" s="36"/>
      <c r="AF199" s="36"/>
      <c r="AG199" s="36"/>
      <c r="AH199" s="36"/>
    </row>
    <row r="200">
      <c r="A200" s="37" t="s">
        <v>82</v>
      </c>
      <c r="B200" s="40" t="s">
        <v>490</v>
      </c>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6"/>
      <c r="AA200" s="36"/>
      <c r="AB200" s="36"/>
      <c r="AC200" s="36"/>
      <c r="AD200" s="36"/>
      <c r="AE200" s="36"/>
      <c r="AF200" s="36"/>
      <c r="AG200" s="36"/>
      <c r="AH200" s="36"/>
    </row>
    <row r="201">
      <c r="A201" s="37" t="s">
        <v>49</v>
      </c>
      <c r="B201" s="40" t="s">
        <v>504</v>
      </c>
      <c r="C201" s="37" t="s">
        <v>287</v>
      </c>
      <c r="D201" s="37" t="s">
        <v>505</v>
      </c>
      <c r="E201" s="37" t="s">
        <v>506</v>
      </c>
      <c r="F201" s="34"/>
      <c r="G201" s="34"/>
      <c r="H201" s="34"/>
      <c r="I201" s="34"/>
      <c r="J201" s="37" t="s">
        <v>288</v>
      </c>
      <c r="K201" s="37" t="s">
        <v>58</v>
      </c>
      <c r="L201" s="34"/>
      <c r="M201" s="34"/>
      <c r="N201" s="34"/>
      <c r="O201" s="34"/>
      <c r="P201" s="34"/>
      <c r="Q201" s="34"/>
      <c r="R201" s="34"/>
      <c r="S201" s="34"/>
      <c r="T201" s="34"/>
      <c r="U201" s="34"/>
      <c r="V201" s="34"/>
      <c r="W201" s="34"/>
      <c r="X201" s="34"/>
      <c r="Y201" s="34"/>
      <c r="Z201" s="36"/>
      <c r="AA201" s="36"/>
      <c r="AB201" s="36"/>
      <c r="AC201" s="36"/>
      <c r="AD201" s="36"/>
      <c r="AE201" s="36"/>
      <c r="AF201" s="36"/>
      <c r="AG201" s="36"/>
      <c r="AH201" s="36"/>
    </row>
    <row r="202">
      <c r="A202" s="37" t="s">
        <v>38</v>
      </c>
      <c r="B202" s="40" t="s">
        <v>507</v>
      </c>
      <c r="C202" s="37" t="s">
        <v>508</v>
      </c>
      <c r="D202" s="39" t="str">
        <f>IFERROR(__xludf.DUMMYFUNCTION("GOOGLETRANSLATE(C202,""en"",""fr"")"),"La patiente présente une hypertension gestationnelle légère.")</f>
        <v>La patiente présente une hypertension gestationnelle légère.</v>
      </c>
      <c r="E202" s="39" t="str">
        <f>IFERROR(__xludf.DUMMYFUNCTION("GOOGLETRANSLATE(C202,""en"",""ht"")"),"Pasyan an gen yon tansyon wo jestasyonèl ki pa twò grav.")</f>
        <v>Pasyan an gen yon tansyon wo jestasyonèl ki pa twò grav.</v>
      </c>
      <c r="F202" s="34"/>
      <c r="G202" s="34"/>
      <c r="H202" s="34"/>
      <c r="I202" s="34"/>
      <c r="J202" s="34"/>
      <c r="K202" s="37" t="s">
        <v>182</v>
      </c>
      <c r="L202" s="34"/>
      <c r="M202" s="34"/>
      <c r="N202" s="34"/>
      <c r="O202" s="34"/>
      <c r="P202" s="34"/>
      <c r="Q202" s="34"/>
      <c r="R202" s="34"/>
      <c r="S202" s="34"/>
      <c r="T202" s="34"/>
      <c r="U202" s="34"/>
      <c r="V202" s="34"/>
      <c r="W202" s="34"/>
      <c r="X202" s="34"/>
      <c r="Y202" s="34"/>
      <c r="Z202" s="36"/>
      <c r="AA202" s="36"/>
      <c r="AB202" s="36"/>
      <c r="AC202" s="36"/>
      <c r="AD202" s="36"/>
      <c r="AE202" s="36"/>
      <c r="AF202" s="36"/>
      <c r="AG202" s="36"/>
      <c r="AH202" s="36"/>
    </row>
    <row r="203">
      <c r="A203" s="37" t="s">
        <v>38</v>
      </c>
      <c r="B203" s="40" t="s">
        <v>509</v>
      </c>
      <c r="C203" s="37" t="s">
        <v>510</v>
      </c>
      <c r="D203" s="39" t="str">
        <f>IFERROR(__xludf.DUMMYFUNCTION("GOOGLETRANSLATE(C203,""en"",""fr"")"),"Protocole :
- Distribuer 30 comprimés de nifédipine 20 mg à prendre une fois par jour.
- Consulter le service de suivi prénatal habituel.")</f>
        <v>Protocole :
- Distribuer 30 comprimés de nifédipine 20 mg à prendre une fois par jour.
- Consulter le service de suivi prénatal habituel.</v>
      </c>
      <c r="E203" s="39" t="str">
        <f>IFERROR(__xludf.DUMMYFUNCTION("GOOGLETRANSLATE(C203,""en"",""ht"")"),"Pwotokòl:
- Distribye 30 Nifedipine 20mg pou pran yon fwa pa jou
- Voye tibebe a nan yon klinik prenatal regilye.")</f>
        <v>Pwotokòl:
- Distribye 30 Nifedipine 20mg pou pran yon fwa pa jou
- Voye tibebe a nan yon klinik prenatal regilye.</v>
      </c>
      <c r="F203" s="34"/>
      <c r="G203" s="34"/>
      <c r="H203" s="34"/>
      <c r="I203" s="34"/>
      <c r="J203" s="34"/>
      <c r="K203" s="34"/>
      <c r="L203" s="34"/>
      <c r="M203" s="34"/>
      <c r="N203" s="34"/>
      <c r="O203" s="34"/>
      <c r="P203" s="34"/>
      <c r="Q203" s="34"/>
      <c r="R203" s="34"/>
      <c r="S203" s="34"/>
      <c r="T203" s="34"/>
      <c r="U203" s="34"/>
      <c r="V203" s="34"/>
      <c r="W203" s="34"/>
      <c r="X203" s="34"/>
      <c r="Y203" s="34"/>
      <c r="Z203" s="36"/>
      <c r="AA203" s="36"/>
      <c r="AB203" s="36"/>
      <c r="AC203" s="36"/>
      <c r="AD203" s="36"/>
      <c r="AE203" s="36"/>
      <c r="AF203" s="36"/>
      <c r="AG203" s="36"/>
      <c r="AH203" s="36"/>
    </row>
    <row r="204">
      <c r="A204" s="37" t="s">
        <v>38</v>
      </c>
      <c r="B204" s="40" t="s">
        <v>511</v>
      </c>
      <c r="C204" s="37" t="s">
        <v>512</v>
      </c>
      <c r="D204" s="39" t="str">
        <f>IFERROR(__xludf.DUMMYFUNCTION("GOOGLETRANSLATE(C204,""en"",""fr"")"),"Conseils :
- Informer la patiente qu’elle ne tardera pas trop à se rendre à sa consultation prénatale.
- Conseiller la patiente de réduire sa consommation de sel.")</f>
        <v>Conseils :
- Informer la patiente qu’elle ne tardera pas trop à se rendre à sa consultation prénatale.
- Conseiller la patiente de réduire sa consommation de sel.</v>
      </c>
      <c r="E204" s="39" t="str">
        <f>IFERROR(__xludf.DUMMYFUNCTION("GOOGLETRANSLATE(C204,""en"",""ht"")"),"Konsèy:
- Enfòme pasyan an pou l pa tann twò lontan pou l ale nan klinik prenatal la
- Enfòme pasyan an pou l diminye konsomasyon sèl la")</f>
        <v>Konsèy:
- Enfòme pasyan an pou l pa tann twò lontan pou l ale nan klinik prenatal la
- Enfòme pasyan an pou l diminye konsomasyon sèl la</v>
      </c>
      <c r="F204" s="34"/>
      <c r="G204" s="34"/>
      <c r="H204" s="34"/>
      <c r="I204" s="34"/>
      <c r="J204" s="34"/>
      <c r="K204" s="34"/>
      <c r="L204" s="34"/>
      <c r="M204" s="34"/>
      <c r="N204" s="34"/>
      <c r="O204" s="34"/>
      <c r="P204" s="34"/>
      <c r="Q204" s="34"/>
      <c r="R204" s="34"/>
      <c r="S204" s="34"/>
      <c r="T204" s="34"/>
      <c r="U204" s="34"/>
      <c r="V204" s="34"/>
      <c r="W204" s="34"/>
      <c r="X204" s="34"/>
      <c r="Y204" s="34"/>
      <c r="Z204" s="36"/>
      <c r="AA204" s="36"/>
      <c r="AB204" s="36"/>
      <c r="AC204" s="36"/>
      <c r="AD204" s="36"/>
      <c r="AE204" s="36"/>
      <c r="AF204" s="36"/>
      <c r="AG204" s="36"/>
      <c r="AH204" s="36"/>
    </row>
    <row r="205">
      <c r="A205" s="37" t="s">
        <v>445</v>
      </c>
      <c r="B205" s="40" t="s">
        <v>513</v>
      </c>
      <c r="C205" s="37" t="s">
        <v>514</v>
      </c>
      <c r="D205" s="39" t="str">
        <f>IFERROR(__xludf.DUMMYFUNCTION("GOOGLETRANSLATE(C205,""en"",""fr"")"),"Avez-vous distribué 30 comprimés de nifédipine 20 mg ?")</f>
        <v>Avez-vous distribué 30 comprimés de nifédipine 20 mg ?</v>
      </c>
      <c r="E205" s="39" t="str">
        <f>IFERROR(__xludf.DUMMYFUNCTION("GOOGLETRANSLATE(C205,""en"",""ht"")"),"Èske ou te distribye 30 Nifedipine 20mg?")</f>
        <v>Èske ou te distribye 30 Nifedipine 20mg?</v>
      </c>
      <c r="F205" s="34"/>
      <c r="G205" s="34"/>
      <c r="H205" s="34"/>
      <c r="I205" s="34"/>
      <c r="J205" s="34"/>
      <c r="K205" s="34"/>
      <c r="L205" s="34"/>
      <c r="M205" s="34"/>
      <c r="N205" s="34"/>
      <c r="O205" s="34"/>
      <c r="P205" s="34"/>
      <c r="Q205" s="34"/>
      <c r="R205" s="34"/>
      <c r="S205" s="34"/>
      <c r="T205" s="34"/>
      <c r="U205" s="34"/>
      <c r="V205" s="34"/>
      <c r="W205" s="34"/>
      <c r="X205" s="34"/>
      <c r="Y205" s="34"/>
      <c r="Z205" s="36"/>
      <c r="AA205" s="36"/>
      <c r="AB205" s="36"/>
      <c r="AC205" s="36"/>
      <c r="AD205" s="36"/>
      <c r="AE205" s="36"/>
      <c r="AF205" s="36"/>
      <c r="AG205" s="36"/>
      <c r="AH205" s="36"/>
    </row>
    <row r="206">
      <c r="A206" s="37" t="s">
        <v>102</v>
      </c>
      <c r="B206" s="40" t="s">
        <v>515</v>
      </c>
      <c r="C206" s="37" t="s">
        <v>54</v>
      </c>
      <c r="D206" s="39" t="str">
        <f>IFERROR(__xludf.DUMMYFUNCTION("GOOGLETRANSLATE(C206,""en"",""fr"")"),"SANS ÉTIQUETTE")</f>
        <v>SANS ÉTIQUETTE</v>
      </c>
      <c r="E206" s="39" t="str">
        <f>IFERROR(__xludf.DUMMYFUNCTION("GOOGLETRANSLATE(C206,""en"",""ht"")"),"PA GEN_ETIKÈT")</f>
        <v>PA GEN_ETIKÈT</v>
      </c>
      <c r="F206" s="34"/>
      <c r="G206" s="34"/>
      <c r="H206" s="34"/>
      <c r="I206" s="34"/>
      <c r="J206" s="34"/>
      <c r="K206" s="34"/>
      <c r="L206" s="34"/>
      <c r="M206" s="34"/>
      <c r="N206" s="34"/>
      <c r="O206" s="34"/>
      <c r="P206" s="37"/>
      <c r="Q206" s="37" t="s">
        <v>516</v>
      </c>
      <c r="R206" s="34"/>
      <c r="S206" s="34"/>
      <c r="T206" s="34"/>
      <c r="U206" s="34"/>
      <c r="V206" s="34"/>
      <c r="W206" s="34"/>
      <c r="X206" s="34"/>
      <c r="Y206" s="34"/>
      <c r="Z206" s="36"/>
      <c r="AA206" s="36"/>
      <c r="AB206" s="36"/>
      <c r="AC206" s="36"/>
      <c r="AD206" s="36"/>
      <c r="AE206" s="36"/>
      <c r="AF206" s="36"/>
      <c r="AG206" s="36"/>
      <c r="AH206" s="36"/>
    </row>
    <row r="207">
      <c r="A207" s="37" t="s">
        <v>451</v>
      </c>
      <c r="B207" s="40" t="s">
        <v>517</v>
      </c>
      <c r="C207" s="37" t="s">
        <v>453</v>
      </c>
      <c r="D207" s="39" t="str">
        <f>IFERROR(__xludf.DUMMYFUNCTION("GOOGLETRANSLATE(C207,""en"",""fr"")"),"Vous avez laissé au moins une confirmation de médicament vide. Si cela est intentionnel, veuillez indiquer pourquoi ci-dessous.")</f>
        <v>Vous avez laissé au moins une confirmation de médicament vide. Si cela est intentionnel, veuillez indiquer pourquoi ci-dessous.</v>
      </c>
      <c r="E207" s="39" t="str">
        <f>IFERROR(__xludf.DUMMYFUNCTION("GOOGLETRANSLATE(C207,""en"",""ht"")"),"Ou kite omwen yon konfimasyon medikaman vid. Si se espre, ekri poukisa anba a.")</f>
        <v>Ou kite omwen yon konfimasyon medikaman vid. Si se espre, ekri poukisa anba a.</v>
      </c>
      <c r="F207" s="37" t="s">
        <v>454</v>
      </c>
      <c r="G207" s="39" t="str">
        <f>IFERROR(__xludf.DUMMYFUNCTION("GOOGLETRANSLATE(F207,""en"",""fr"")"),"Si vous avez distribué une quantité différente de médicaments, notez combien.")</f>
        <v>Si vous avez distribué une quantité différente de médicaments, notez combien.</v>
      </c>
      <c r="H207" s="39" t="str">
        <f>IFERROR(__xludf.DUMMYFUNCTION("GOOGLETRANSLATE(F207,""en"",""ht"")"),"Si ou te distribye yon kantite dwòg diferan, anrejistre konbyen.")</f>
        <v>Si ou te distribye yon kantite dwòg diferan, anrejistre konbyen.</v>
      </c>
      <c r="I207" s="37" t="s">
        <v>68</v>
      </c>
      <c r="J207" s="37" t="s">
        <v>518</v>
      </c>
      <c r="K207" s="34"/>
      <c r="L207" s="34"/>
      <c r="M207" s="34"/>
      <c r="N207" s="34"/>
      <c r="O207" s="34"/>
      <c r="P207" s="34"/>
      <c r="Q207" s="34"/>
      <c r="R207" s="34"/>
      <c r="S207" s="34"/>
      <c r="T207" s="34"/>
      <c r="U207" s="34"/>
      <c r="V207" s="34"/>
      <c r="W207" s="34"/>
      <c r="X207" s="34"/>
      <c r="Y207" s="34"/>
      <c r="Z207" s="36"/>
      <c r="AA207" s="36"/>
      <c r="AB207" s="36"/>
      <c r="AC207" s="36"/>
      <c r="AD207" s="36"/>
      <c r="AE207" s="36"/>
      <c r="AF207" s="36"/>
      <c r="AG207" s="36"/>
      <c r="AH207" s="36"/>
    </row>
    <row r="208">
      <c r="A208" s="37" t="s">
        <v>451</v>
      </c>
      <c r="B208" s="40" t="s">
        <v>519</v>
      </c>
      <c r="C208" s="37" t="s">
        <v>457</v>
      </c>
      <c r="D208" s="39" t="str">
        <f>IFERROR(__xludf.DUMMYFUNCTION("GOOGLETRANSLATE(C208,""en"",""fr"")"),"Notes cliniques :")</f>
        <v>Notes cliniques :</v>
      </c>
      <c r="E208" s="39" t="str">
        <f>IFERROR(__xludf.DUMMYFUNCTION("GOOGLETRANSLATE(C208,""en"",""ht"")"),"Nòt klinik:")</f>
        <v>Nòt klinik:</v>
      </c>
      <c r="F208" s="34"/>
      <c r="G208" s="34"/>
      <c r="H208" s="34"/>
      <c r="I208" s="34"/>
      <c r="J208" s="34"/>
      <c r="K208" s="34"/>
      <c r="L208" s="34"/>
      <c r="M208" s="34"/>
      <c r="N208" s="34"/>
      <c r="O208" s="34"/>
      <c r="P208" s="34"/>
      <c r="Q208" s="34"/>
      <c r="R208" s="34"/>
      <c r="S208" s="34"/>
      <c r="T208" s="34"/>
      <c r="U208" s="34"/>
      <c r="V208" s="34"/>
      <c r="W208" s="34"/>
      <c r="X208" s="34"/>
      <c r="Y208" s="34"/>
      <c r="Z208" s="36"/>
      <c r="AA208" s="36"/>
      <c r="AB208" s="36"/>
      <c r="AC208" s="36"/>
      <c r="AD208" s="36"/>
      <c r="AE208" s="36"/>
      <c r="AF208" s="36"/>
      <c r="AG208" s="36"/>
      <c r="AH208" s="36"/>
    </row>
    <row r="209">
      <c r="A209" s="37" t="s">
        <v>82</v>
      </c>
      <c r="B209" s="40" t="s">
        <v>504</v>
      </c>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6"/>
      <c r="AA209" s="36"/>
      <c r="AB209" s="36"/>
      <c r="AC209" s="36"/>
      <c r="AD209" s="36"/>
      <c r="AE209" s="36"/>
      <c r="AF209" s="36"/>
      <c r="AG209" s="36"/>
      <c r="AH209" s="36"/>
    </row>
    <row r="210">
      <c r="A210" s="37" t="s">
        <v>49</v>
      </c>
      <c r="B210" s="40" t="s">
        <v>520</v>
      </c>
      <c r="C210" s="37" t="s">
        <v>305</v>
      </c>
      <c r="D210" s="37" t="s">
        <v>521</v>
      </c>
      <c r="E210" s="37" t="s">
        <v>522</v>
      </c>
      <c r="F210" s="34"/>
      <c r="G210" s="34"/>
      <c r="H210" s="34"/>
      <c r="I210" s="34"/>
      <c r="J210" s="37" t="s">
        <v>306</v>
      </c>
      <c r="K210" s="37" t="s">
        <v>58</v>
      </c>
      <c r="L210" s="34"/>
      <c r="M210" s="34"/>
      <c r="N210" s="34"/>
      <c r="O210" s="34"/>
      <c r="P210" s="34"/>
      <c r="Q210" s="34"/>
      <c r="R210" s="34"/>
      <c r="S210" s="34"/>
      <c r="T210" s="34"/>
      <c r="U210" s="34"/>
      <c r="V210" s="34"/>
      <c r="W210" s="34"/>
      <c r="X210" s="34"/>
      <c r="Y210" s="34"/>
      <c r="Z210" s="36"/>
      <c r="AA210" s="36"/>
      <c r="AB210" s="36"/>
      <c r="AC210" s="36"/>
      <c r="AD210" s="36"/>
      <c r="AE210" s="36"/>
      <c r="AF210" s="36"/>
      <c r="AG210" s="36"/>
      <c r="AH210" s="36"/>
    </row>
    <row r="211">
      <c r="A211" s="37" t="s">
        <v>38</v>
      </c>
      <c r="B211" s="40" t="s">
        <v>523</v>
      </c>
      <c r="C211" s="37" t="s">
        <v>524</v>
      </c>
      <c r="D211" s="39" t="str">
        <f>IFERROR(__xludf.DUMMYFUNCTION("GOOGLETRANSLATE(C211,""en"",""fr"")"),"La patiente présente une infection génito-urinaire pendant sa grossesse.")</f>
        <v>La patiente présente une infection génito-urinaire pendant sa grossesse.</v>
      </c>
      <c r="E211" s="39" t="str">
        <f>IFERROR(__xludf.DUMMYFUNCTION("GOOGLETRANSLATE(C211,""en"",""ht"")"),"Pasyan an gen enfeksyon jenitourinè pandan gwosès la")</f>
        <v>Pasyan an gen enfeksyon jenitourinè pandan gwosès la</v>
      </c>
      <c r="F211" s="34"/>
      <c r="G211" s="34"/>
      <c r="H211" s="34"/>
      <c r="I211" s="34"/>
      <c r="J211" s="34"/>
      <c r="K211" s="37" t="s">
        <v>197</v>
      </c>
      <c r="L211" s="34"/>
      <c r="M211" s="34"/>
      <c r="N211" s="34"/>
      <c r="O211" s="34"/>
      <c r="P211" s="34"/>
      <c r="Q211" s="34"/>
      <c r="R211" s="34"/>
      <c r="S211" s="34"/>
      <c r="T211" s="34"/>
      <c r="U211" s="34"/>
      <c r="V211" s="34"/>
      <c r="W211" s="34"/>
      <c r="X211" s="34"/>
      <c r="Y211" s="34"/>
      <c r="Z211" s="36"/>
      <c r="AA211" s="36"/>
      <c r="AB211" s="36"/>
      <c r="AC211" s="36"/>
      <c r="AD211" s="36"/>
      <c r="AE211" s="36"/>
      <c r="AF211" s="36"/>
      <c r="AG211" s="36"/>
      <c r="AH211" s="36"/>
    </row>
    <row r="212">
      <c r="A212" s="37" t="s">
        <v>38</v>
      </c>
      <c r="B212" s="40" t="s">
        <v>525</v>
      </c>
      <c r="C212" s="37" t="s">
        <v>526</v>
      </c>
      <c r="D212" s="39" t="str">
        <f>IFERROR(__xludf.DUMMYFUNCTION("GOOGLETRANSLATE(C212,""en"",""fr"")"),"Protocole :
Distribuer 21 comprimés d’amoxicilline 500 mg à prendre 3 fois par jour pendant 7 jours")</f>
        <v>Protocole :
Distribuer 21 comprimés d’amoxicilline 500 mg à prendre 3 fois par jour pendant 7 jours</v>
      </c>
      <c r="E212" s="39" t="str">
        <f>IFERROR(__xludf.DUMMYFUNCTION("GOOGLETRANSLATE(C212,""en"",""ht"")"),"Pwotokòl:
- Distribye 21 Amoksisilin 500mg pou pran 3 fwa/jou pandan 7 jou.")</f>
        <v>Pwotokòl:
- Distribye 21 Amoksisilin 500mg pou pran 3 fwa/jou pandan 7 jou.</v>
      </c>
      <c r="F212" s="34"/>
      <c r="G212" s="34"/>
      <c r="H212" s="34"/>
      <c r="I212" s="34"/>
      <c r="J212" s="34"/>
      <c r="K212" s="34"/>
      <c r="L212" s="34"/>
      <c r="M212" s="34"/>
      <c r="N212" s="34"/>
      <c r="O212" s="34"/>
      <c r="P212" s="34"/>
      <c r="Q212" s="34"/>
      <c r="R212" s="34"/>
      <c r="S212" s="34"/>
      <c r="T212" s="34"/>
      <c r="U212" s="34"/>
      <c r="V212" s="34"/>
      <c r="W212" s="34"/>
      <c r="X212" s="34"/>
      <c r="Y212" s="34"/>
      <c r="Z212" s="36"/>
      <c r="AA212" s="36"/>
      <c r="AB212" s="36"/>
      <c r="AC212" s="36"/>
      <c r="AD212" s="36"/>
      <c r="AE212" s="36"/>
      <c r="AF212" s="36"/>
      <c r="AG212" s="36"/>
      <c r="AH212" s="36"/>
    </row>
    <row r="213">
      <c r="A213" s="37" t="s">
        <v>38</v>
      </c>
      <c r="B213" s="40" t="s">
        <v>527</v>
      </c>
      <c r="C213" s="37" t="s">
        <v>528</v>
      </c>
      <c r="D213" s="39" t="str">
        <f>IFERROR(__xludf.DUMMYFUNCTION("GOOGLETRANSLATE(C213,""en"",""fr"")"),"Conseils :
- Fournir des conseils en matière d'hygiène")</f>
        <v>Conseils :
- Fournir des conseils en matière d'hygiène</v>
      </c>
      <c r="E213" s="39" t="str">
        <f>IFERROR(__xludf.DUMMYFUNCTION("GOOGLETRANSLATE(C213,""en"",""ht"")"),"Konsèy:
- Bay konsèy sou ijyèn")</f>
        <v>Konsèy:
- Bay konsèy sou ijyèn</v>
      </c>
      <c r="F213" s="34"/>
      <c r="G213" s="34"/>
      <c r="H213" s="34"/>
      <c r="I213" s="34"/>
      <c r="J213" s="34"/>
      <c r="K213" s="34"/>
      <c r="L213" s="34"/>
      <c r="M213" s="34"/>
      <c r="N213" s="34"/>
      <c r="O213" s="34"/>
      <c r="P213" s="34"/>
      <c r="Q213" s="34"/>
      <c r="R213" s="34"/>
      <c r="S213" s="34"/>
      <c r="T213" s="34"/>
      <c r="U213" s="34"/>
      <c r="V213" s="34"/>
      <c r="W213" s="34"/>
      <c r="X213" s="34"/>
      <c r="Y213" s="34"/>
      <c r="Z213" s="36"/>
      <c r="AA213" s="36"/>
      <c r="AB213" s="36"/>
      <c r="AC213" s="36"/>
      <c r="AD213" s="36"/>
      <c r="AE213" s="36"/>
      <c r="AF213" s="36"/>
      <c r="AG213" s="36"/>
      <c r="AH213" s="36"/>
    </row>
    <row r="214">
      <c r="A214" s="37" t="s">
        <v>445</v>
      </c>
      <c r="B214" s="40" t="s">
        <v>529</v>
      </c>
      <c r="C214" s="37" t="s">
        <v>530</v>
      </c>
      <c r="D214" s="39" t="str">
        <f>IFERROR(__xludf.DUMMYFUNCTION("GOOGLETRANSLATE(C214,""en"",""fr"")"),"Avez-vous distribué 21 Amoxicilline 500 mg ?")</f>
        <v>Avez-vous distribué 21 Amoxicilline 500 mg ?</v>
      </c>
      <c r="E214" s="39" t="str">
        <f>IFERROR(__xludf.DUMMYFUNCTION("GOOGLETRANSLATE(C214,""en"",""ht"")"),"Èske ou te distribye 21 Amoxicillin 500mg?")</f>
        <v>Èske ou te distribye 21 Amoxicillin 500mg?</v>
      </c>
      <c r="F214" s="34"/>
      <c r="G214" s="34"/>
      <c r="H214" s="34"/>
      <c r="I214" s="34"/>
      <c r="J214" s="34"/>
      <c r="K214" s="34"/>
      <c r="L214" s="34"/>
      <c r="M214" s="34"/>
      <c r="N214" s="34"/>
      <c r="O214" s="34"/>
      <c r="P214" s="34"/>
      <c r="Q214" s="34"/>
      <c r="R214" s="34"/>
      <c r="S214" s="34"/>
      <c r="T214" s="34"/>
      <c r="U214" s="34"/>
      <c r="V214" s="34"/>
      <c r="W214" s="34"/>
      <c r="X214" s="34"/>
      <c r="Y214" s="34"/>
      <c r="Z214" s="36"/>
      <c r="AA214" s="36"/>
      <c r="AB214" s="36"/>
      <c r="AC214" s="36"/>
      <c r="AD214" s="36"/>
      <c r="AE214" s="36"/>
      <c r="AF214" s="36"/>
      <c r="AG214" s="36"/>
      <c r="AH214" s="36"/>
    </row>
    <row r="215">
      <c r="A215" s="37" t="s">
        <v>102</v>
      </c>
      <c r="B215" s="40" t="s">
        <v>531</v>
      </c>
      <c r="C215" s="37" t="s">
        <v>54</v>
      </c>
      <c r="D215" s="39" t="str">
        <f>IFERROR(__xludf.DUMMYFUNCTION("GOOGLETRANSLATE(C215,""en"",""fr"")"),"SANS ÉTIQUETTE")</f>
        <v>SANS ÉTIQUETTE</v>
      </c>
      <c r="E215" s="39" t="str">
        <f>IFERROR(__xludf.DUMMYFUNCTION("GOOGLETRANSLATE(C215,""en"",""ht"")"),"PA GEN_ETIKÈT")</f>
        <v>PA GEN_ETIKÈT</v>
      </c>
      <c r="F215" s="34"/>
      <c r="G215" s="34"/>
      <c r="H215" s="34"/>
      <c r="I215" s="34"/>
      <c r="J215" s="34"/>
      <c r="K215" s="34"/>
      <c r="L215" s="34"/>
      <c r="M215" s="34"/>
      <c r="N215" s="34"/>
      <c r="O215" s="34"/>
      <c r="P215" s="37"/>
      <c r="Q215" s="37" t="s">
        <v>532</v>
      </c>
      <c r="R215" s="34"/>
      <c r="S215" s="34"/>
      <c r="T215" s="34"/>
      <c r="U215" s="34"/>
      <c r="V215" s="34"/>
      <c r="W215" s="34"/>
      <c r="X215" s="34"/>
      <c r="Y215" s="34"/>
      <c r="Z215" s="36"/>
      <c r="AA215" s="36"/>
      <c r="AB215" s="36"/>
      <c r="AC215" s="36"/>
      <c r="AD215" s="36"/>
      <c r="AE215" s="36"/>
      <c r="AF215" s="36"/>
      <c r="AG215" s="36"/>
      <c r="AH215" s="36"/>
    </row>
    <row r="216">
      <c r="A216" s="37" t="s">
        <v>451</v>
      </c>
      <c r="B216" s="40" t="s">
        <v>533</v>
      </c>
      <c r="C216" s="37" t="s">
        <v>453</v>
      </c>
      <c r="D216" s="39" t="str">
        <f>IFERROR(__xludf.DUMMYFUNCTION("GOOGLETRANSLATE(C216,""en"",""fr"")"),"Vous avez laissé au moins une confirmation de médicament vide. Si cela est intentionnel, veuillez indiquer pourquoi ci-dessous.")</f>
        <v>Vous avez laissé au moins une confirmation de médicament vide. Si cela est intentionnel, veuillez indiquer pourquoi ci-dessous.</v>
      </c>
      <c r="E216" s="39" t="str">
        <f>IFERROR(__xludf.DUMMYFUNCTION("GOOGLETRANSLATE(C216,""en"",""ht"")"),"Ou kite omwen yon konfimasyon medikaman vid. Si se espre, ekri poukisa anba a.")</f>
        <v>Ou kite omwen yon konfimasyon medikaman vid. Si se espre, ekri poukisa anba a.</v>
      </c>
      <c r="F216" s="37" t="s">
        <v>454</v>
      </c>
      <c r="G216" s="39" t="str">
        <f>IFERROR(__xludf.DUMMYFUNCTION("GOOGLETRANSLATE(F216,""en"",""fr"")"),"Si vous avez distribué une quantité différente de médicaments, notez combien.")</f>
        <v>Si vous avez distribué une quantité différente de médicaments, notez combien.</v>
      </c>
      <c r="H216" s="39" t="str">
        <f>IFERROR(__xludf.DUMMYFUNCTION("GOOGLETRANSLATE(F216,""en"",""ht"")"),"Si ou te distribye yon kantite dwòg diferan, anrejistre konbyen.")</f>
        <v>Si ou te distribye yon kantite dwòg diferan, anrejistre konbyen.</v>
      </c>
      <c r="I216" s="37" t="s">
        <v>68</v>
      </c>
      <c r="J216" s="37" t="s">
        <v>534</v>
      </c>
      <c r="K216" s="34"/>
      <c r="L216" s="34"/>
      <c r="M216" s="34"/>
      <c r="N216" s="34"/>
      <c r="O216" s="34"/>
      <c r="P216" s="34"/>
      <c r="Q216" s="34"/>
      <c r="R216" s="34"/>
      <c r="S216" s="34"/>
      <c r="T216" s="34"/>
      <c r="U216" s="34"/>
      <c r="V216" s="34"/>
      <c r="W216" s="34"/>
      <c r="X216" s="34"/>
      <c r="Y216" s="34"/>
      <c r="Z216" s="36"/>
      <c r="AA216" s="36"/>
      <c r="AB216" s="36"/>
      <c r="AC216" s="36"/>
      <c r="AD216" s="36"/>
      <c r="AE216" s="36"/>
      <c r="AF216" s="36"/>
      <c r="AG216" s="36"/>
      <c r="AH216" s="36"/>
    </row>
    <row r="217">
      <c r="A217" s="37" t="s">
        <v>451</v>
      </c>
      <c r="B217" s="40" t="s">
        <v>535</v>
      </c>
      <c r="C217" s="37" t="s">
        <v>457</v>
      </c>
      <c r="D217" s="39" t="str">
        <f>IFERROR(__xludf.DUMMYFUNCTION("GOOGLETRANSLATE(C217,""en"",""fr"")"),"Notes cliniques :")</f>
        <v>Notes cliniques :</v>
      </c>
      <c r="E217" s="39" t="str">
        <f>IFERROR(__xludf.DUMMYFUNCTION("GOOGLETRANSLATE(C217,""en"",""ht"")"),"Nòt klinik:")</f>
        <v>Nòt klinik:</v>
      </c>
      <c r="F217" s="34"/>
      <c r="G217" s="34"/>
      <c r="H217" s="34"/>
      <c r="I217" s="34"/>
      <c r="J217" s="34"/>
      <c r="K217" s="34"/>
      <c r="L217" s="34"/>
      <c r="M217" s="34"/>
      <c r="N217" s="34"/>
      <c r="O217" s="34"/>
      <c r="P217" s="34"/>
      <c r="Q217" s="34"/>
      <c r="R217" s="34"/>
      <c r="S217" s="34"/>
      <c r="T217" s="34"/>
      <c r="U217" s="34"/>
      <c r="V217" s="34"/>
      <c r="W217" s="34"/>
      <c r="X217" s="34"/>
      <c r="Y217" s="34"/>
      <c r="Z217" s="36"/>
      <c r="AA217" s="36"/>
      <c r="AB217" s="36"/>
      <c r="AC217" s="36"/>
      <c r="AD217" s="36"/>
      <c r="AE217" s="36"/>
      <c r="AF217" s="36"/>
      <c r="AG217" s="36"/>
      <c r="AH217" s="36"/>
    </row>
    <row r="218">
      <c r="A218" s="37" t="s">
        <v>82</v>
      </c>
      <c r="B218" s="40" t="s">
        <v>520</v>
      </c>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6"/>
      <c r="AA218" s="36"/>
      <c r="AB218" s="36"/>
      <c r="AC218" s="36"/>
      <c r="AD218" s="36"/>
      <c r="AE218" s="36"/>
      <c r="AF218" s="36"/>
      <c r="AG218" s="36"/>
      <c r="AH218" s="36"/>
    </row>
    <row r="219">
      <c r="A219" s="37" t="s">
        <v>49</v>
      </c>
      <c r="B219" s="40" t="s">
        <v>536</v>
      </c>
      <c r="C219" s="37" t="s">
        <v>259</v>
      </c>
      <c r="D219" s="37" t="s">
        <v>537</v>
      </c>
      <c r="E219" s="37" t="s">
        <v>538</v>
      </c>
      <c r="F219" s="34"/>
      <c r="G219" s="34"/>
      <c r="H219" s="34"/>
      <c r="I219" s="34"/>
      <c r="J219" s="37" t="s">
        <v>260</v>
      </c>
      <c r="K219" s="37" t="s">
        <v>58</v>
      </c>
      <c r="L219" s="34"/>
      <c r="M219" s="34"/>
      <c r="N219" s="34"/>
      <c r="O219" s="34"/>
      <c r="P219" s="34"/>
      <c r="Q219" s="34"/>
      <c r="R219" s="34"/>
      <c r="S219" s="34"/>
      <c r="T219" s="34"/>
      <c r="U219" s="34"/>
      <c r="V219" s="34"/>
      <c r="W219" s="34"/>
      <c r="X219" s="34"/>
      <c r="Y219" s="34"/>
      <c r="Z219" s="36"/>
      <c r="AA219" s="36"/>
      <c r="AB219" s="36"/>
      <c r="AC219" s="36"/>
      <c r="AD219" s="36"/>
      <c r="AE219" s="36"/>
      <c r="AF219" s="36"/>
      <c r="AG219" s="36"/>
      <c r="AH219" s="36"/>
    </row>
    <row r="220">
      <c r="A220" s="37" t="s">
        <v>38</v>
      </c>
      <c r="B220" s="40" t="s">
        <v>539</v>
      </c>
      <c r="C220" s="37" t="s">
        <v>540</v>
      </c>
      <c r="D220" s="37" t="str">
        <f>IFERROR(__xludf.DUMMYFUNCTION("GOOGLETRANSLATE(C220,""en"",""fr"")"),"Le patient présente une urgence hypertensive.")</f>
        <v>Le patient présente une urgence hypertensive.</v>
      </c>
      <c r="E220" s="37" t="str">
        <f>IFERROR(__xludf.DUMMYFUNCTION("GOOGLETRANSLATE(C220,""en"",""ht"")"),"Pasyan an gen tansyon wo ijans")</f>
        <v>Pasyan an gen tansyon wo ijans</v>
      </c>
      <c r="F220" s="34"/>
      <c r="G220" s="34"/>
      <c r="H220" s="34"/>
      <c r="I220" s="34"/>
      <c r="J220" s="34"/>
      <c r="K220" s="37" t="s">
        <v>197</v>
      </c>
      <c r="L220" s="34"/>
      <c r="M220" s="34"/>
      <c r="N220" s="34"/>
      <c r="O220" s="34"/>
      <c r="P220" s="34"/>
      <c r="Q220" s="34"/>
      <c r="R220" s="34"/>
      <c r="S220" s="34"/>
      <c r="T220" s="34"/>
      <c r="U220" s="34"/>
      <c r="V220" s="34"/>
      <c r="W220" s="34"/>
      <c r="X220" s="34"/>
      <c r="Y220" s="34"/>
      <c r="Z220" s="36"/>
      <c r="AA220" s="36"/>
      <c r="AB220" s="36"/>
      <c r="AC220" s="36"/>
      <c r="AD220" s="36"/>
      <c r="AE220" s="36"/>
      <c r="AF220" s="36"/>
      <c r="AG220" s="36"/>
      <c r="AH220" s="36"/>
    </row>
    <row r="221">
      <c r="A221" s="37" t="s">
        <v>38</v>
      </c>
      <c r="B221" s="40" t="s">
        <v>541</v>
      </c>
      <c r="C221" s="37" t="s">
        <v>542</v>
      </c>
      <c r="D221" s="37" t="str">
        <f>IFERROR(__xludf.DUMMYFUNCTION("GOOGLETRANSLATE(C221,""en"",""fr"")"),"Protocole :
- Administrer 1 comprimé de nifédipine à libération rapide de 10 mg par voie sublinguale
- Consultation hospitalière immédiate")</f>
        <v>Protocole :
- Administrer 1 comprimé de nifédipine à libération rapide de 10 mg par voie sublinguale
- Consultation hospitalière immédiate</v>
      </c>
      <c r="E221" s="37" t="str">
        <f>IFERROR(__xludf.DUMMYFUNCTION("GOOGLETRANSLATE(C221,""en"",""ht"")"),"Pwotokòl:
- Administre 1 Nifedipine 10mg Rapid Release sou lang lan
- Referans lopital imedyat")</f>
        <v>Pwotokòl:
- Administre 1 Nifedipine 10mg Rapid Release sou lang lan
- Referans lopital imedyat</v>
      </c>
      <c r="F221" s="34"/>
      <c r="G221" s="34"/>
      <c r="H221" s="34"/>
      <c r="I221" s="34"/>
      <c r="J221" s="34"/>
      <c r="K221" s="34"/>
      <c r="L221" s="34"/>
      <c r="M221" s="34"/>
      <c r="N221" s="34"/>
      <c r="O221" s="34"/>
      <c r="P221" s="34"/>
      <c r="Q221" s="34"/>
      <c r="R221" s="34"/>
      <c r="S221" s="34"/>
      <c r="T221" s="34"/>
      <c r="U221" s="34"/>
      <c r="V221" s="34"/>
      <c r="W221" s="34"/>
      <c r="X221" s="34"/>
      <c r="Y221" s="34"/>
      <c r="Z221" s="36"/>
      <c r="AA221" s="36"/>
      <c r="AB221" s="36"/>
      <c r="AC221" s="36"/>
      <c r="AD221" s="36"/>
      <c r="AE221" s="36"/>
      <c r="AF221" s="36"/>
      <c r="AG221" s="36"/>
      <c r="AH221" s="36"/>
    </row>
    <row r="222">
      <c r="A222" s="37" t="s">
        <v>38</v>
      </c>
      <c r="B222" s="40" t="s">
        <v>543</v>
      </c>
      <c r="C222" s="37" t="s">
        <v>444</v>
      </c>
      <c r="D222" s="37" t="str">
        <f>IFERROR(__xludf.DUMMYFUNCTION("GOOGLETRANSLATE(C222,""en"",""fr"")"),"Accompagnement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22" s="37" t="str">
        <f>IFERROR(__xludf.DUMMYFUNCTION("GOOGLETRANSLATE(C222,""en"",""ht"")"),"Konsèy:
- (Konsèy TODO pa bay nan pwotokòl swen yo - ajoute kòm espas vid pou fidbak enfimyè yo)")</f>
        <v>Konsèy:
- (Konsèy TODO pa bay nan pwotokòl swen yo - ajoute kòm espas vid pou fidbak enfimyè yo)</v>
      </c>
      <c r="F222" s="34"/>
      <c r="G222" s="34"/>
      <c r="H222" s="34"/>
      <c r="I222" s="34"/>
      <c r="J222" s="34"/>
      <c r="K222" s="34"/>
      <c r="L222" s="34"/>
      <c r="M222" s="34"/>
      <c r="N222" s="34"/>
      <c r="O222" s="34"/>
      <c r="P222" s="34"/>
      <c r="Q222" s="34"/>
      <c r="R222" s="34"/>
      <c r="S222" s="34"/>
      <c r="T222" s="34"/>
      <c r="U222" s="34"/>
      <c r="V222" s="34"/>
      <c r="W222" s="34"/>
      <c r="X222" s="34"/>
      <c r="Y222" s="34"/>
      <c r="Z222" s="36"/>
      <c r="AA222" s="36"/>
      <c r="AB222" s="36"/>
      <c r="AC222" s="36"/>
      <c r="AD222" s="36"/>
      <c r="AE222" s="36"/>
      <c r="AF222" s="36"/>
      <c r="AG222" s="36"/>
      <c r="AH222" s="36"/>
    </row>
    <row r="223">
      <c r="A223" s="37" t="s">
        <v>445</v>
      </c>
      <c r="B223" s="40" t="s">
        <v>544</v>
      </c>
      <c r="C223" s="37" t="s">
        <v>545</v>
      </c>
      <c r="D223" s="37" t="str">
        <f>IFERROR(__xludf.DUMMYFUNCTION("GOOGLETRANSLATE(C223,""en"",""fr"")"),"Avez-vous administré 1 comprimé de nifédipine à libération rapide de 10 mg ?")</f>
        <v>Avez-vous administré 1 comprimé de nifédipine à libération rapide de 10 mg ?</v>
      </c>
      <c r="E223" s="37" t="str">
        <f>IFERROR(__xludf.DUMMYFUNCTION("GOOGLETRANSLATE(C223,""en"",""ht"")"),"Èske ou te administre 1 Nifedipine 10mg a liberasyon rapid?")</f>
        <v>Èske ou te administre 1 Nifedipine 10mg a liberasyon rapid?</v>
      </c>
      <c r="F223" s="34"/>
      <c r="G223" s="34"/>
      <c r="H223" s="34"/>
      <c r="I223" s="34"/>
      <c r="J223" s="34"/>
      <c r="K223" s="34"/>
      <c r="L223" s="34"/>
      <c r="M223" s="34"/>
      <c r="N223" s="34"/>
      <c r="O223" s="34"/>
      <c r="P223" s="34"/>
      <c r="Q223" s="34"/>
      <c r="R223" s="34"/>
      <c r="S223" s="34"/>
      <c r="T223" s="34"/>
      <c r="U223" s="34"/>
      <c r="V223" s="34"/>
      <c r="W223" s="34"/>
      <c r="X223" s="34"/>
      <c r="Y223" s="34"/>
      <c r="Z223" s="36"/>
      <c r="AA223" s="36"/>
      <c r="AB223" s="36"/>
      <c r="AC223" s="36"/>
      <c r="AD223" s="36"/>
      <c r="AE223" s="36"/>
      <c r="AF223" s="36"/>
      <c r="AG223" s="36"/>
      <c r="AH223" s="36"/>
    </row>
    <row r="224">
      <c r="A224" s="37" t="s">
        <v>102</v>
      </c>
      <c r="B224" s="40" t="s">
        <v>546</v>
      </c>
      <c r="C224" s="37" t="s">
        <v>54</v>
      </c>
      <c r="D224" s="34" t="str">
        <f>IFERROR(__xludf.DUMMYFUNCTION("GOOGLETRANSLATE(C224,""en"",""fr"")"),"SANS ÉTIQUETTE")</f>
        <v>SANS ÉTIQUETTE</v>
      </c>
      <c r="E224" s="34" t="str">
        <f>IFERROR(__xludf.DUMMYFUNCTION("GOOGLETRANSLATE(C224,""en"",""ht"")"),"PA GEN_ETIKÈT")</f>
        <v>PA GEN_ETIKÈT</v>
      </c>
      <c r="F224" s="34"/>
      <c r="G224" s="34"/>
      <c r="H224" s="34"/>
      <c r="I224" s="34"/>
      <c r="J224" s="34"/>
      <c r="K224" s="34"/>
      <c r="L224" s="34"/>
      <c r="M224" s="34"/>
      <c r="N224" s="34"/>
      <c r="O224" s="34"/>
      <c r="P224" s="34"/>
      <c r="Q224" s="37" t="s">
        <v>547</v>
      </c>
      <c r="R224" s="34"/>
      <c r="S224" s="34"/>
      <c r="T224" s="34"/>
      <c r="U224" s="34"/>
      <c r="V224" s="34"/>
      <c r="W224" s="34"/>
      <c r="X224" s="34"/>
      <c r="Y224" s="34"/>
      <c r="Z224" s="36"/>
      <c r="AA224" s="36"/>
      <c r="AB224" s="36"/>
      <c r="AC224" s="36"/>
      <c r="AD224" s="36"/>
      <c r="AE224" s="36"/>
      <c r="AF224" s="36"/>
      <c r="AG224" s="36"/>
      <c r="AH224" s="36"/>
    </row>
    <row r="225">
      <c r="A225" s="37" t="s">
        <v>451</v>
      </c>
      <c r="B225" s="40" t="s">
        <v>548</v>
      </c>
      <c r="C225" s="37" t="s">
        <v>453</v>
      </c>
      <c r="D225" s="39" t="str">
        <f>IFERROR(__xludf.DUMMYFUNCTION("GOOGLETRANSLATE(C225,""en"",""fr"")"),"Vous avez laissé au moins une confirmation de médicament vide. Si cela est intentionnel, veuillez indiquer pourquoi ci-dessous.")</f>
        <v>Vous avez laissé au moins une confirmation de médicament vide. Si cela est intentionnel, veuillez indiquer pourquoi ci-dessous.</v>
      </c>
      <c r="E225" s="39" t="str">
        <f>IFERROR(__xludf.DUMMYFUNCTION("GOOGLETRANSLATE(C225,""en"",""ht"")"),"Ou kite omwen yon konfimasyon medikaman vid. Si se espre, ekri poukisa anba a.")</f>
        <v>Ou kite omwen yon konfimasyon medikaman vid. Si se espre, ekri poukisa anba a.</v>
      </c>
      <c r="F225" s="37" t="s">
        <v>454</v>
      </c>
      <c r="G225" s="37" t="str">
        <f>IFERROR(__xludf.DUMMYFUNCTION("GOOGLETRANSLATE(F225,""en"",""fr"")"),"Si vous avez distribué une quantité différente de médicaments, notez combien.")</f>
        <v>Si vous avez distribué une quantité différente de médicaments, notez combien.</v>
      </c>
      <c r="H225" s="37" t="str">
        <f>IFERROR(__xludf.DUMMYFUNCTION("GOOGLETRANSLATE(F225,""en"",""ht"")"),"Si ou te distribye yon kantite dwòg diferan, anrejistre konbyen.")</f>
        <v>Si ou te distribye yon kantite dwòg diferan, anrejistre konbyen.</v>
      </c>
      <c r="I225" s="37" t="s">
        <v>68</v>
      </c>
      <c r="J225" s="37" t="s">
        <v>549</v>
      </c>
      <c r="K225" s="34"/>
      <c r="L225" s="34"/>
      <c r="M225" s="34"/>
      <c r="N225" s="34"/>
      <c r="O225" s="34"/>
      <c r="P225" s="34"/>
      <c r="Q225" s="34"/>
      <c r="R225" s="34"/>
      <c r="S225" s="34"/>
      <c r="T225" s="34"/>
      <c r="U225" s="34"/>
      <c r="V225" s="34"/>
      <c r="W225" s="34"/>
      <c r="X225" s="34"/>
      <c r="Y225" s="34"/>
      <c r="Z225" s="36"/>
      <c r="AA225" s="36"/>
      <c r="AB225" s="36"/>
      <c r="AC225" s="36"/>
      <c r="AD225" s="36"/>
      <c r="AE225" s="36"/>
      <c r="AF225" s="36"/>
      <c r="AG225" s="36"/>
      <c r="AH225" s="36"/>
    </row>
    <row r="226">
      <c r="A226" s="37" t="s">
        <v>451</v>
      </c>
      <c r="B226" s="40" t="s">
        <v>550</v>
      </c>
      <c r="C226" s="37" t="s">
        <v>457</v>
      </c>
      <c r="D226" s="37" t="str">
        <f>IFERROR(__xludf.DUMMYFUNCTION("GOOGLETRANSLATE(C226,""en"",""fr"")"),"Notes cliniques :")</f>
        <v>Notes cliniques :</v>
      </c>
      <c r="E226" s="37" t="str">
        <f>IFERROR(__xludf.DUMMYFUNCTION("GOOGLETRANSLATE(C226,""en"",""ht"")"),"Nòt klinik:")</f>
        <v>Nòt klinik:</v>
      </c>
      <c r="F226" s="34"/>
      <c r="G226" s="34"/>
      <c r="H226" s="34"/>
      <c r="I226" s="34"/>
      <c r="J226" s="34"/>
      <c r="K226" s="34"/>
      <c r="L226" s="34"/>
      <c r="M226" s="34"/>
      <c r="N226" s="34"/>
      <c r="O226" s="34"/>
      <c r="P226" s="34"/>
      <c r="Q226" s="34"/>
      <c r="R226" s="34"/>
      <c r="S226" s="34"/>
      <c r="T226" s="34"/>
      <c r="U226" s="34"/>
      <c r="V226" s="34"/>
      <c r="W226" s="34"/>
      <c r="X226" s="34"/>
      <c r="Y226" s="34"/>
      <c r="Z226" s="36"/>
      <c r="AA226" s="36"/>
      <c r="AB226" s="36"/>
      <c r="AC226" s="36"/>
      <c r="AD226" s="36"/>
      <c r="AE226" s="36"/>
      <c r="AF226" s="36"/>
      <c r="AG226" s="36"/>
      <c r="AH226" s="36"/>
    </row>
    <row r="227">
      <c r="A227" s="37" t="s">
        <v>82</v>
      </c>
      <c r="B227" s="40" t="s">
        <v>536</v>
      </c>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6"/>
      <c r="AA227" s="36"/>
      <c r="AB227" s="36"/>
      <c r="AC227" s="36"/>
      <c r="AD227" s="36"/>
      <c r="AE227" s="36"/>
      <c r="AF227" s="36"/>
      <c r="AG227" s="36"/>
      <c r="AH227" s="36"/>
    </row>
    <row r="228">
      <c r="A228" s="37" t="s">
        <v>49</v>
      </c>
      <c r="B228" s="40" t="s">
        <v>551</v>
      </c>
      <c r="C228" s="37" t="s">
        <v>280</v>
      </c>
      <c r="D228" s="37" t="s">
        <v>552</v>
      </c>
      <c r="E228" s="37" t="s">
        <v>553</v>
      </c>
      <c r="F228" s="34"/>
      <c r="G228" s="34"/>
      <c r="H228" s="34"/>
      <c r="I228" s="34"/>
      <c r="J228" s="37" t="s">
        <v>281</v>
      </c>
      <c r="K228" s="37" t="s">
        <v>58</v>
      </c>
      <c r="L228" s="34"/>
      <c r="M228" s="34"/>
      <c r="N228" s="34"/>
      <c r="O228" s="34"/>
      <c r="P228" s="34"/>
      <c r="Q228" s="34"/>
      <c r="R228" s="34"/>
      <c r="S228" s="34"/>
      <c r="T228" s="34"/>
      <c r="U228" s="34"/>
      <c r="V228" s="34"/>
      <c r="W228" s="34"/>
      <c r="X228" s="34"/>
      <c r="Y228" s="34"/>
      <c r="Z228" s="36"/>
      <c r="AA228" s="36"/>
      <c r="AB228" s="36"/>
      <c r="AC228" s="36"/>
      <c r="AD228" s="36"/>
      <c r="AE228" s="36"/>
      <c r="AF228" s="36"/>
      <c r="AG228" s="36"/>
      <c r="AH228" s="36"/>
    </row>
    <row r="229">
      <c r="A229" s="37" t="s">
        <v>38</v>
      </c>
      <c r="B229" s="40" t="s">
        <v>554</v>
      </c>
      <c r="C229" s="37" t="s">
        <v>555</v>
      </c>
      <c r="D229" s="37" t="str">
        <f>IFERROR(__xludf.DUMMYFUNCTION("GOOGLETRANSLATE(C229,""en"",""fr"")"),"Le patient présente une hypertension de grade 3")</f>
        <v>Le patient présente une hypertension de grade 3</v>
      </c>
      <c r="E229" s="37" t="str">
        <f>IFERROR(__xludf.DUMMYFUNCTION("GOOGLETRANSLATE(C229,""en"",""ht"")"),"Pasyan an gen tansyon wo nan klas 3")</f>
        <v>Pasyan an gen tansyon wo nan klas 3</v>
      </c>
      <c r="F229" s="34"/>
      <c r="G229" s="34"/>
      <c r="H229" s="34"/>
      <c r="I229" s="34"/>
      <c r="J229" s="34"/>
      <c r="K229" s="37" t="s">
        <v>197</v>
      </c>
      <c r="L229" s="34"/>
      <c r="M229" s="34"/>
      <c r="N229" s="34"/>
      <c r="O229" s="34"/>
      <c r="P229" s="34"/>
      <c r="Q229" s="34"/>
      <c r="R229" s="34"/>
      <c r="S229" s="34"/>
      <c r="T229" s="34"/>
      <c r="U229" s="34"/>
      <c r="V229" s="34"/>
      <c r="W229" s="34"/>
      <c r="X229" s="34"/>
      <c r="Y229" s="34"/>
      <c r="Z229" s="36"/>
      <c r="AA229" s="36"/>
      <c r="AB229" s="36"/>
      <c r="AC229" s="36"/>
      <c r="AD229" s="36"/>
      <c r="AE229" s="36"/>
      <c r="AF229" s="36"/>
      <c r="AG229" s="36"/>
      <c r="AH229" s="36"/>
    </row>
    <row r="230">
      <c r="A230" s="37" t="s">
        <v>38</v>
      </c>
      <c r="B230" s="40" t="s">
        <v>556</v>
      </c>
      <c r="C230" s="37" t="s">
        <v>557</v>
      </c>
      <c r="D230" s="37" t="str">
        <f>IFERROR(__xludf.DUMMYFUNCTION("GOOGLETRANSLATE(C230,""en"",""fr"")"),"Protocole :
- Consulter immédiatement")</f>
        <v>Protocole :
- Consulter immédiatement</v>
      </c>
      <c r="E230" s="37" t="str">
        <f>IFERROR(__xludf.DUMMYFUNCTION("GOOGLETRANSLATE(C230,""en"",""ht"")"),"Pwotokòl:
- Refere imedyatman")</f>
        <v>Pwotokòl:
- Refere imedyatman</v>
      </c>
      <c r="F230" s="34"/>
      <c r="G230" s="34"/>
      <c r="H230" s="34"/>
      <c r="I230" s="34"/>
      <c r="J230" s="34"/>
      <c r="K230" s="34"/>
      <c r="L230" s="34"/>
      <c r="M230" s="34"/>
      <c r="N230" s="34"/>
      <c r="O230" s="34"/>
      <c r="P230" s="34"/>
      <c r="Q230" s="34"/>
      <c r="R230" s="34"/>
      <c r="S230" s="34"/>
      <c r="T230" s="34"/>
      <c r="U230" s="34"/>
      <c r="V230" s="34"/>
      <c r="W230" s="34"/>
      <c r="X230" s="34"/>
      <c r="Y230" s="34"/>
      <c r="Z230" s="36"/>
      <c r="AA230" s="36"/>
      <c r="AB230" s="36"/>
      <c r="AC230" s="36"/>
      <c r="AD230" s="36"/>
      <c r="AE230" s="36"/>
      <c r="AF230" s="36"/>
      <c r="AG230" s="36"/>
      <c r="AH230" s="36"/>
    </row>
    <row r="231">
      <c r="A231" s="37" t="s">
        <v>38</v>
      </c>
      <c r="B231" s="40" t="s">
        <v>558</v>
      </c>
      <c r="C231" s="37" t="s">
        <v>444</v>
      </c>
      <c r="D231" s="37" t="str">
        <f>IFERROR(__xludf.DUMMYFUNCTION("GOOGLETRANSLATE(C231,""en"",""fr"")"),"Accompagnement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31" s="37" t="str">
        <f>IFERROR(__xludf.DUMMYFUNCTION("GOOGLETRANSLATE(C231,""en"",""ht"")"),"Konsèy:
- (Konsèy TODO pa bay nan pwotokòl swen yo - ajoute kòm espas vid pou fidbak enfimyè yo)")</f>
        <v>Konsèy:
- (Konsèy TODO pa bay nan pwotokòl swen yo - ajoute kòm espas vid pou fidbak enfimyè yo)</v>
      </c>
      <c r="F231" s="34"/>
      <c r="G231" s="34"/>
      <c r="H231" s="34"/>
      <c r="I231" s="34"/>
      <c r="J231" s="34"/>
      <c r="K231" s="34"/>
      <c r="L231" s="34"/>
      <c r="M231" s="34"/>
      <c r="N231" s="34"/>
      <c r="O231" s="34"/>
      <c r="P231" s="34"/>
      <c r="Q231" s="34"/>
      <c r="R231" s="34"/>
      <c r="S231" s="34"/>
      <c r="T231" s="34"/>
      <c r="U231" s="34"/>
      <c r="V231" s="34"/>
      <c r="W231" s="34"/>
      <c r="X231" s="34"/>
      <c r="Y231" s="34"/>
      <c r="Z231" s="36"/>
      <c r="AA231" s="36"/>
      <c r="AB231" s="36"/>
      <c r="AC231" s="36"/>
      <c r="AD231" s="36"/>
      <c r="AE231" s="36"/>
      <c r="AF231" s="36"/>
      <c r="AG231" s="36"/>
      <c r="AH231" s="36"/>
    </row>
    <row r="232">
      <c r="A232" s="37" t="s">
        <v>451</v>
      </c>
      <c r="B232" s="40" t="s">
        <v>559</v>
      </c>
      <c r="C232" s="37" t="s">
        <v>457</v>
      </c>
      <c r="D232" s="37" t="str">
        <f>IFERROR(__xludf.DUMMYFUNCTION("GOOGLETRANSLATE(C232,""en"",""fr"")"),"Notes cliniques :")</f>
        <v>Notes cliniques :</v>
      </c>
      <c r="E232" s="37" t="str">
        <f>IFERROR(__xludf.DUMMYFUNCTION("GOOGLETRANSLATE(C232,""en"",""ht"")"),"Nòt klinik:")</f>
        <v>Nòt klinik:</v>
      </c>
      <c r="F232" s="34"/>
      <c r="G232" s="34"/>
      <c r="H232" s="34"/>
      <c r="I232" s="34"/>
      <c r="J232" s="34"/>
      <c r="K232" s="34"/>
      <c r="L232" s="34"/>
      <c r="M232" s="34"/>
      <c r="N232" s="34"/>
      <c r="O232" s="34"/>
      <c r="P232" s="34"/>
      <c r="Q232" s="34"/>
      <c r="R232" s="34"/>
      <c r="S232" s="34"/>
      <c r="T232" s="34"/>
      <c r="U232" s="34"/>
      <c r="V232" s="34"/>
      <c r="W232" s="34"/>
      <c r="X232" s="34"/>
      <c r="Y232" s="34"/>
      <c r="Z232" s="36"/>
      <c r="AA232" s="36"/>
      <c r="AB232" s="36"/>
      <c r="AC232" s="36"/>
      <c r="AD232" s="36"/>
      <c r="AE232" s="36"/>
      <c r="AF232" s="36"/>
      <c r="AG232" s="36"/>
      <c r="AH232" s="36"/>
    </row>
    <row r="233">
      <c r="A233" s="37" t="s">
        <v>82</v>
      </c>
      <c r="B233" s="40" t="s">
        <v>551</v>
      </c>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6"/>
      <c r="AA233" s="36"/>
      <c r="AB233" s="36"/>
      <c r="AC233" s="36"/>
      <c r="AD233" s="36"/>
      <c r="AE233" s="36"/>
      <c r="AF233" s="36"/>
      <c r="AG233" s="36"/>
      <c r="AH233" s="36"/>
    </row>
    <row r="234">
      <c r="A234" s="37" t="s">
        <v>49</v>
      </c>
      <c r="B234" s="40" t="s">
        <v>560</v>
      </c>
      <c r="C234" s="37" t="s">
        <v>273</v>
      </c>
      <c r="D234" s="37" t="s">
        <v>561</v>
      </c>
      <c r="E234" s="37" t="s">
        <v>562</v>
      </c>
      <c r="F234" s="34"/>
      <c r="G234" s="34"/>
      <c r="H234" s="34"/>
      <c r="I234" s="34"/>
      <c r="J234" s="37" t="s">
        <v>274</v>
      </c>
      <c r="K234" s="37" t="s">
        <v>58</v>
      </c>
      <c r="L234" s="34"/>
      <c r="M234" s="34"/>
      <c r="N234" s="34"/>
      <c r="O234" s="34"/>
      <c r="P234" s="34"/>
      <c r="Q234" s="34"/>
      <c r="R234" s="34"/>
      <c r="S234" s="34"/>
      <c r="T234" s="34"/>
      <c r="U234" s="34"/>
      <c r="V234" s="34"/>
      <c r="W234" s="34"/>
      <c r="X234" s="34"/>
      <c r="Y234" s="34"/>
      <c r="Z234" s="36"/>
      <c r="AA234" s="36"/>
      <c r="AB234" s="36"/>
      <c r="AC234" s="36"/>
      <c r="AD234" s="36"/>
      <c r="AE234" s="36"/>
      <c r="AF234" s="36"/>
      <c r="AG234" s="36"/>
      <c r="AH234" s="36"/>
    </row>
    <row r="235">
      <c r="A235" s="37" t="s">
        <v>38</v>
      </c>
      <c r="B235" s="40" t="s">
        <v>563</v>
      </c>
      <c r="C235" s="37" t="s">
        <v>564</v>
      </c>
      <c r="D235" s="37" t="str">
        <f>IFERROR(__xludf.DUMMYFUNCTION("GOOGLETRANSLATE(C235,""en"",""fr"")"),"Le patient présente une hypertension de grade 2")</f>
        <v>Le patient présente une hypertension de grade 2</v>
      </c>
      <c r="E235" s="37" t="str">
        <f>IFERROR(__xludf.DUMMYFUNCTION("GOOGLETRANSLATE(C235,""en"",""ht"")"),"Pasyan an gen tansyon wo nivo 2")</f>
        <v>Pasyan an gen tansyon wo nivo 2</v>
      </c>
      <c r="F235" s="34"/>
      <c r="G235" s="34"/>
      <c r="H235" s="34"/>
      <c r="I235" s="34"/>
      <c r="J235" s="34"/>
      <c r="K235" s="37" t="s">
        <v>182</v>
      </c>
      <c r="L235" s="34"/>
      <c r="M235" s="34"/>
      <c r="N235" s="34"/>
      <c r="O235" s="34"/>
      <c r="P235" s="34"/>
      <c r="Q235" s="34"/>
      <c r="R235" s="34"/>
      <c r="S235" s="34"/>
      <c r="T235" s="34"/>
      <c r="U235" s="34"/>
      <c r="V235" s="34"/>
      <c r="W235" s="34"/>
      <c r="X235" s="34"/>
      <c r="Y235" s="34"/>
      <c r="Z235" s="36"/>
      <c r="AA235" s="36"/>
      <c r="AB235" s="36"/>
      <c r="AC235" s="36"/>
      <c r="AD235" s="36"/>
      <c r="AE235" s="36"/>
      <c r="AF235" s="36"/>
      <c r="AG235" s="36"/>
      <c r="AH235" s="36"/>
    </row>
    <row r="236">
      <c r="A236" s="37" t="s">
        <v>38</v>
      </c>
      <c r="B236" s="40" t="s">
        <v>565</v>
      </c>
      <c r="C236" s="37" t="s">
        <v>566</v>
      </c>
      <c r="D236" s="37" t="str">
        <f>IFERROR(__xludf.DUMMYFUNCTION("GOOGLETRANSLATE(C236,""en"",""fr"")"),"Protocole :
- Distribuer 30 comprimés d’hydrochlorothiazide 25 mg à prendre chaque matin.
- Distribuer 60 comprimés d’énalapril 10 mg à prendre deux fois par jour.")</f>
        <v>Protocole :
- Distribuer 30 comprimés d’hydrochlorothiazide 25 mg à prendre chaque matin.
- Distribuer 60 comprimés d’énalapril 10 mg à prendre deux fois par jour.</v>
      </c>
      <c r="E236" s="37" t="str">
        <f>IFERROR(__xludf.DUMMYFUNCTION("GOOGLETRANSLATE(C236,""en"",""ht"")"),"Pwotokòl:
- Distribye 30 Idroklorotiyazid 25mg pou pran chak maten
- Distribye 60 Enalapril 10mg pou pran de fwa pa jou")</f>
        <v>Pwotokòl:
- Distribye 30 Idroklorotiyazid 25mg pou pran chak maten
- Distribye 60 Enalapril 10mg pou pran de fwa pa jou</v>
      </c>
      <c r="F236" s="34"/>
      <c r="G236" s="34"/>
      <c r="H236" s="34"/>
      <c r="I236" s="34"/>
      <c r="J236" s="34"/>
      <c r="K236" s="34"/>
      <c r="L236" s="34"/>
      <c r="M236" s="34"/>
      <c r="N236" s="34"/>
      <c r="O236" s="34"/>
      <c r="P236" s="34"/>
      <c r="Q236" s="34"/>
      <c r="R236" s="34"/>
      <c r="S236" s="34"/>
      <c r="T236" s="34"/>
      <c r="U236" s="34"/>
      <c r="V236" s="34"/>
      <c r="W236" s="34"/>
      <c r="X236" s="34"/>
      <c r="Y236" s="34"/>
      <c r="Z236" s="36"/>
      <c r="AA236" s="36"/>
      <c r="AB236" s="36"/>
      <c r="AC236" s="36"/>
      <c r="AD236" s="36"/>
      <c r="AE236" s="36"/>
      <c r="AF236" s="36"/>
      <c r="AG236" s="36"/>
      <c r="AH236" s="36"/>
    </row>
    <row r="237">
      <c r="A237" s="37" t="s">
        <v>38</v>
      </c>
      <c r="B237" s="40" t="s">
        <v>567</v>
      </c>
      <c r="C237" s="37" t="s">
        <v>568</v>
      </c>
      <c r="D237" s="37" t="str">
        <f>IFERROR(__xludf.DUMMYFUNCTION("GOOGLETRANSLATE(C237,""en"",""fr"")"),"Conseils :
- Consultez un médecin en cas de signes de danger : vision trouble, maux de tête, raideur de la nuque ou difficultés d'élocution.
- Adoptez une alimentation saine : réduisez votre consommation de sel et d'aliments frits, et privilégiez les fr"&amp;"uits et légumes.
- Insistez sur l'importance de ne jamais interrompre votre traitement.
- Prévoyez un rendez-vous de suivi dans un mois pour contrôler votre tension artérielle et renouveler votre ordonnance.")</f>
        <v>Conseils :
- Consultez un médecin en cas de signes de danger : vision trouble, maux de tête, raideur de la nuque ou difficultés d'élocution.
- Adoptez une alimentation saine : réduisez votre consommation de sel et d'aliments frits, et privilégiez les fruits et légumes.
- Insistez sur l'importance de ne jamais interrompre votre traitement.
- Prévoyez un rendez-vous de suivi dans un mois pour contrôler votre tension artérielle et renouveler votre ordonnance.</v>
      </c>
      <c r="E237" s="37" t="str">
        <f>IFERROR(__xludf.DUMMYFUNCTION("GOOGLETRANSLATE(C237,""en"",""ht"")"),"Konsèy:
- Ale lopital si gen siy danje: vizyon twoub, maltèt, rèd nan kou, oswa difikilte pou pale.
- Rejim alimantè ki an sante: diminye sèl, diminye manje fri, epi manje plis fwi ak legim.
- Bay konsèy sou nesesite pou pa janm sispann pran medikaman an."&amp;"
- Konseye yon swivi nan 1 mwa pou kontwòl tansyon ak renouvèlman medikaman.")</f>
        <v>Konsèy:
- Ale lopital si gen siy danje: vizyon twoub, maltèt, rèd nan kou, oswa difikilte pou pale.
- Rejim alimantè ki an sante: diminye sèl, diminye manje fri, epi manje plis fwi ak legim.
- Bay konsèy sou nesesite pou pa janm sispann pran medikaman an.
- Konseye yon swivi nan 1 mwa pou kontwòl tansyon ak renouvèlman medikaman.</v>
      </c>
      <c r="F237" s="34"/>
      <c r="G237" s="34"/>
      <c r="H237" s="34"/>
      <c r="I237" s="34"/>
      <c r="J237" s="34"/>
      <c r="K237" s="34"/>
      <c r="L237" s="34"/>
      <c r="M237" s="34"/>
      <c r="N237" s="34"/>
      <c r="O237" s="34"/>
      <c r="P237" s="34"/>
      <c r="Q237" s="34"/>
      <c r="R237" s="34"/>
      <c r="S237" s="34"/>
      <c r="T237" s="34"/>
      <c r="U237" s="34"/>
      <c r="V237" s="34"/>
      <c r="W237" s="34"/>
      <c r="X237" s="34"/>
      <c r="Y237" s="34"/>
      <c r="Z237" s="36"/>
      <c r="AA237" s="36"/>
      <c r="AB237" s="36"/>
      <c r="AC237" s="36"/>
      <c r="AD237" s="36"/>
      <c r="AE237" s="36"/>
      <c r="AF237" s="36"/>
      <c r="AG237" s="36"/>
      <c r="AH237" s="36"/>
    </row>
    <row r="238">
      <c r="A238" s="37" t="s">
        <v>445</v>
      </c>
      <c r="B238" s="40" t="s">
        <v>569</v>
      </c>
      <c r="C238" s="37" t="s">
        <v>570</v>
      </c>
      <c r="D238" s="37" t="str">
        <f>IFERROR(__xludf.DUMMYFUNCTION("GOOGLETRANSLATE(C238,""en"",""fr"")"),"Avez-vous distribué 30 comprimés d'hydrochlorothiazide 25 mg ?")</f>
        <v>Avez-vous distribué 30 comprimés d'hydrochlorothiazide 25 mg ?</v>
      </c>
      <c r="E238" s="37" t="str">
        <f>IFERROR(__xludf.DUMMYFUNCTION("GOOGLETRANSLATE(C238,""en"",""ht"")"),"Èske ou te distribye 30 idroklorotiyazid 25mg?")</f>
        <v>Èske ou te distribye 30 idroklorotiyazid 25mg?</v>
      </c>
      <c r="F238" s="34"/>
      <c r="G238" s="34"/>
      <c r="H238" s="34"/>
      <c r="I238" s="34"/>
      <c r="J238" s="34"/>
      <c r="K238" s="34"/>
      <c r="L238" s="34"/>
      <c r="M238" s="34"/>
      <c r="N238" s="34"/>
      <c r="O238" s="34"/>
      <c r="P238" s="34"/>
      <c r="Q238" s="37" t="s">
        <v>571</v>
      </c>
      <c r="R238" s="34"/>
      <c r="S238" s="34"/>
      <c r="T238" s="34"/>
      <c r="U238" s="34"/>
      <c r="V238" s="34"/>
      <c r="W238" s="34"/>
      <c r="X238" s="34"/>
      <c r="Y238" s="34"/>
      <c r="Z238" s="36"/>
      <c r="AA238" s="36"/>
      <c r="AB238" s="36"/>
      <c r="AC238" s="36"/>
      <c r="AD238" s="36"/>
      <c r="AE238" s="36"/>
      <c r="AF238" s="36"/>
      <c r="AG238" s="36"/>
      <c r="AH238" s="36"/>
    </row>
    <row r="239">
      <c r="A239" s="37" t="s">
        <v>102</v>
      </c>
      <c r="B239" s="40" t="s">
        <v>572</v>
      </c>
      <c r="C239" s="37" t="s">
        <v>54</v>
      </c>
      <c r="D239" s="34" t="str">
        <f>IFERROR(__xludf.DUMMYFUNCTION("GOOGLETRANSLATE(C239,""en"",""fr"")"),"SANS ÉTIQUETTE")</f>
        <v>SANS ÉTIQUETTE</v>
      </c>
      <c r="E239" s="34" t="str">
        <f>IFERROR(__xludf.DUMMYFUNCTION("GOOGLETRANSLATE(C239,""en"",""ht"")"),"PA GEN_ETIKÈT")</f>
        <v>PA GEN_ETIKÈT</v>
      </c>
      <c r="F239" s="34"/>
      <c r="G239" s="34"/>
      <c r="H239" s="34"/>
      <c r="I239" s="34"/>
      <c r="J239" s="34"/>
      <c r="K239" s="34"/>
      <c r="L239" s="34"/>
      <c r="M239" s="34"/>
      <c r="N239" s="34"/>
      <c r="O239" s="34"/>
      <c r="P239" s="37" t="s">
        <v>571</v>
      </c>
      <c r="Q239" s="37" t="s">
        <v>573</v>
      </c>
      <c r="R239" s="34"/>
      <c r="S239" s="34"/>
      <c r="T239" s="34"/>
      <c r="U239" s="34"/>
      <c r="V239" s="34"/>
      <c r="W239" s="34"/>
      <c r="X239" s="34"/>
      <c r="Y239" s="34"/>
      <c r="Z239" s="36"/>
      <c r="AA239" s="36"/>
      <c r="AB239" s="36"/>
      <c r="AC239" s="36"/>
      <c r="AD239" s="36"/>
      <c r="AE239" s="36"/>
      <c r="AF239" s="36"/>
      <c r="AG239" s="36"/>
      <c r="AH239" s="36"/>
    </row>
    <row r="240">
      <c r="A240" s="37" t="s">
        <v>445</v>
      </c>
      <c r="B240" s="40" t="s">
        <v>574</v>
      </c>
      <c r="C240" s="37" t="s">
        <v>575</v>
      </c>
      <c r="D240" s="37" t="str">
        <f>IFERROR(__xludf.DUMMYFUNCTION("GOOGLETRANSLATE(C240,""en"",""fr"")"),"Avez-vous distribué 60 comprimés d'énalapril 10 mg ?")</f>
        <v>Avez-vous distribué 60 comprimés d'énalapril 10 mg ?</v>
      </c>
      <c r="E240" s="37" t="str">
        <f>IFERROR(__xludf.DUMMYFUNCTION("GOOGLETRANSLATE(C240,""en"",""ht"")"),"Èske ou te distribye 60 Enalapril 10mg?")</f>
        <v>Èske ou te distribye 60 Enalapril 10mg?</v>
      </c>
      <c r="F240" s="34"/>
      <c r="G240" s="34"/>
      <c r="H240" s="34"/>
      <c r="I240" s="34"/>
      <c r="J240" s="34"/>
      <c r="K240" s="34"/>
      <c r="L240" s="34"/>
      <c r="M240" s="34"/>
      <c r="N240" s="34"/>
      <c r="O240" s="34"/>
      <c r="P240" s="34"/>
      <c r="Q240" s="37" t="s">
        <v>576</v>
      </c>
      <c r="R240" s="34"/>
      <c r="S240" s="34"/>
      <c r="T240" s="34"/>
      <c r="U240" s="34"/>
      <c r="V240" s="34"/>
      <c r="W240" s="34"/>
      <c r="X240" s="34"/>
      <c r="Y240" s="34"/>
      <c r="Z240" s="36"/>
      <c r="AA240" s="36"/>
      <c r="AB240" s="36"/>
      <c r="AC240" s="36"/>
      <c r="AD240" s="36"/>
      <c r="AE240" s="36"/>
      <c r="AF240" s="36"/>
      <c r="AG240" s="36"/>
      <c r="AH240" s="36"/>
    </row>
    <row r="241">
      <c r="A241" s="37" t="s">
        <v>102</v>
      </c>
      <c r="B241" s="40" t="s">
        <v>577</v>
      </c>
      <c r="C241" s="37" t="s">
        <v>54</v>
      </c>
      <c r="D241" s="34" t="str">
        <f>IFERROR(__xludf.DUMMYFUNCTION("GOOGLETRANSLATE(C241,""en"",""fr"")"),"SANS ÉTIQUETTE")</f>
        <v>SANS ÉTIQUETTE</v>
      </c>
      <c r="E241" s="34" t="str">
        <f>IFERROR(__xludf.DUMMYFUNCTION("GOOGLETRANSLATE(C241,""en"",""ht"")"),"PA GEN_ETIKÈT")</f>
        <v>PA GEN_ETIKÈT</v>
      </c>
      <c r="F241" s="34"/>
      <c r="G241" s="34"/>
      <c r="H241" s="34"/>
      <c r="I241" s="34"/>
      <c r="J241" s="34"/>
      <c r="K241" s="34"/>
      <c r="L241" s="34"/>
      <c r="M241" s="34"/>
      <c r="N241" s="34"/>
      <c r="O241" s="34"/>
      <c r="P241" s="37" t="s">
        <v>576</v>
      </c>
      <c r="Q241" s="37" t="s">
        <v>578</v>
      </c>
      <c r="R241" s="34"/>
      <c r="S241" s="34"/>
      <c r="T241" s="34"/>
      <c r="U241" s="34"/>
      <c r="V241" s="34"/>
      <c r="W241" s="34"/>
      <c r="X241" s="34"/>
      <c r="Y241" s="34"/>
      <c r="Z241" s="36"/>
      <c r="AA241" s="36"/>
      <c r="AB241" s="36"/>
      <c r="AC241" s="36"/>
      <c r="AD241" s="36"/>
      <c r="AE241" s="36"/>
      <c r="AF241" s="36"/>
      <c r="AG241" s="36"/>
      <c r="AH241" s="36"/>
    </row>
    <row r="242">
      <c r="A242" s="37" t="s">
        <v>451</v>
      </c>
      <c r="B242" s="40" t="s">
        <v>579</v>
      </c>
      <c r="C242" s="37" t="s">
        <v>453</v>
      </c>
      <c r="D242" s="39" t="str">
        <f>IFERROR(__xludf.DUMMYFUNCTION("GOOGLETRANSLATE(C242,""en"",""fr"")"),"Vous avez laissé au moins une confirmation de médicament vide. Si cela est intentionnel, veuillez indiquer pourquoi ci-dessous.")</f>
        <v>Vous avez laissé au moins une confirmation de médicament vide. Si cela est intentionnel, veuillez indiquer pourquoi ci-dessous.</v>
      </c>
      <c r="E242" s="39" t="str">
        <f>IFERROR(__xludf.DUMMYFUNCTION("GOOGLETRANSLATE(C242,""en"",""ht"")"),"Ou kite omwen yon konfimasyon medikaman vid. Si se espre, ekri poukisa anba a.")</f>
        <v>Ou kite omwen yon konfimasyon medikaman vid. Si se espre, ekri poukisa anba a.</v>
      </c>
      <c r="F242" s="37" t="s">
        <v>454</v>
      </c>
      <c r="G242" s="37" t="str">
        <f>IFERROR(__xludf.DUMMYFUNCTION("GOOGLETRANSLATE(F242,""en"",""fr"")"),"Si vous avez distribué une quantité différente de médicaments, notez combien.")</f>
        <v>Si vous avez distribué une quantité différente de médicaments, notez combien.</v>
      </c>
      <c r="H242" s="37" t="str">
        <f>IFERROR(__xludf.DUMMYFUNCTION("GOOGLETRANSLATE(F242,""en"",""ht"")"),"Si ou te distribye yon kantite dwòg diferan, anrejistre konbyen.")</f>
        <v>Si ou te distribye yon kantite dwòg diferan, anrejistre konbyen.</v>
      </c>
      <c r="I242" s="37" t="s">
        <v>68</v>
      </c>
      <c r="J242" s="37" t="s">
        <v>580</v>
      </c>
      <c r="K242" s="34"/>
      <c r="L242" s="34"/>
      <c r="M242" s="34"/>
      <c r="N242" s="34"/>
      <c r="O242" s="34"/>
      <c r="P242" s="34"/>
      <c r="Q242" s="34"/>
      <c r="R242" s="34"/>
      <c r="S242" s="34"/>
      <c r="T242" s="34"/>
      <c r="U242" s="34"/>
      <c r="V242" s="34"/>
      <c r="W242" s="34"/>
      <c r="X242" s="34"/>
      <c r="Y242" s="34"/>
      <c r="Z242" s="36"/>
      <c r="AA242" s="36"/>
      <c r="AB242" s="36"/>
      <c r="AC242" s="36"/>
      <c r="AD242" s="36"/>
      <c r="AE242" s="36"/>
      <c r="AF242" s="36"/>
      <c r="AG242" s="36"/>
      <c r="AH242" s="36"/>
    </row>
    <row r="243">
      <c r="A243" s="37" t="s">
        <v>451</v>
      </c>
      <c r="B243" s="40" t="s">
        <v>581</v>
      </c>
      <c r="C243" s="37" t="s">
        <v>457</v>
      </c>
      <c r="D243" s="37" t="str">
        <f>IFERROR(__xludf.DUMMYFUNCTION("GOOGLETRANSLATE(C243,""en"",""fr"")"),"Notes cliniques :")</f>
        <v>Notes cliniques :</v>
      </c>
      <c r="E243" s="37" t="str">
        <f>IFERROR(__xludf.DUMMYFUNCTION("GOOGLETRANSLATE(C243,""en"",""ht"")"),"Nòt klinik:")</f>
        <v>Nòt klinik:</v>
      </c>
      <c r="F243" s="34"/>
      <c r="G243" s="34"/>
      <c r="H243" s="34"/>
      <c r="I243" s="34"/>
      <c r="J243" s="34"/>
      <c r="K243" s="34"/>
      <c r="L243" s="34"/>
      <c r="M243" s="34"/>
      <c r="N243" s="34"/>
      <c r="O243" s="34"/>
      <c r="P243" s="34"/>
      <c r="Q243" s="34"/>
      <c r="R243" s="34"/>
      <c r="S243" s="34"/>
      <c r="T243" s="34"/>
      <c r="U243" s="34"/>
      <c r="V243" s="34"/>
      <c r="W243" s="34"/>
      <c r="X243" s="34"/>
      <c r="Y243" s="34"/>
      <c r="Z243" s="36"/>
      <c r="AA243" s="36"/>
      <c r="AB243" s="36"/>
      <c r="AC243" s="36"/>
      <c r="AD243" s="36"/>
      <c r="AE243" s="36"/>
      <c r="AF243" s="36"/>
      <c r="AG243" s="36"/>
      <c r="AH243" s="36"/>
    </row>
    <row r="244">
      <c r="A244" s="37" t="s">
        <v>82</v>
      </c>
      <c r="B244" s="40" t="s">
        <v>560</v>
      </c>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6"/>
      <c r="AA244" s="36"/>
      <c r="AB244" s="36"/>
      <c r="AC244" s="36"/>
      <c r="AD244" s="36"/>
      <c r="AE244" s="36"/>
      <c r="AF244" s="36"/>
      <c r="AG244" s="36"/>
      <c r="AH244" s="36"/>
    </row>
    <row r="245">
      <c r="A245" s="37" t="s">
        <v>49</v>
      </c>
      <c r="B245" s="40" t="s">
        <v>582</v>
      </c>
      <c r="C245" s="37" t="s">
        <v>266</v>
      </c>
      <c r="D245" s="37" t="s">
        <v>583</v>
      </c>
      <c r="E245" s="37" t="s">
        <v>584</v>
      </c>
      <c r="F245" s="34"/>
      <c r="G245" s="34"/>
      <c r="H245" s="34"/>
      <c r="I245" s="34"/>
      <c r="J245" s="37" t="s">
        <v>267</v>
      </c>
      <c r="K245" s="37" t="s">
        <v>58</v>
      </c>
      <c r="L245" s="34"/>
      <c r="M245" s="34"/>
      <c r="N245" s="34"/>
      <c r="O245" s="34"/>
      <c r="P245" s="34"/>
      <c r="Q245" s="34"/>
      <c r="R245" s="34"/>
      <c r="S245" s="34"/>
      <c r="T245" s="34"/>
      <c r="U245" s="34"/>
      <c r="V245" s="34"/>
      <c r="W245" s="34"/>
      <c r="X245" s="34"/>
      <c r="Y245" s="34"/>
      <c r="Z245" s="36"/>
      <c r="AA245" s="36"/>
      <c r="AB245" s="36"/>
      <c r="AC245" s="36"/>
      <c r="AD245" s="36"/>
      <c r="AE245" s="36"/>
      <c r="AF245" s="36"/>
      <c r="AG245" s="36"/>
      <c r="AH245" s="36"/>
    </row>
    <row r="246">
      <c r="A246" s="37" t="s">
        <v>38</v>
      </c>
      <c r="B246" s="40" t="s">
        <v>585</v>
      </c>
      <c r="C246" s="37" t="s">
        <v>586</v>
      </c>
      <c r="D246" s="37" t="str">
        <f>IFERROR(__xludf.DUMMYFUNCTION("GOOGLETRANSLATE(C246,""en"",""fr"")"),"Le patient présente une hypertension de grade 1")</f>
        <v>Le patient présente une hypertension de grade 1</v>
      </c>
      <c r="E246" s="37" t="str">
        <f>IFERROR(__xludf.DUMMYFUNCTION("GOOGLETRANSLATE(C246,""en"",""ht"")"),"Pasyan an gen tansyon wo nivo 1")</f>
        <v>Pasyan an gen tansyon wo nivo 1</v>
      </c>
      <c r="F246" s="34"/>
      <c r="G246" s="34"/>
      <c r="H246" s="34"/>
      <c r="I246" s="34"/>
      <c r="J246" s="34"/>
      <c r="K246" s="37" t="s">
        <v>182</v>
      </c>
      <c r="L246" s="34"/>
      <c r="M246" s="34"/>
      <c r="N246" s="34"/>
      <c r="O246" s="34"/>
      <c r="P246" s="34"/>
      <c r="Q246" s="34"/>
      <c r="R246" s="34"/>
      <c r="S246" s="34"/>
      <c r="T246" s="34"/>
      <c r="U246" s="34"/>
      <c r="V246" s="34"/>
      <c r="W246" s="34"/>
      <c r="X246" s="34"/>
      <c r="Y246" s="34"/>
      <c r="Z246" s="36"/>
      <c r="AA246" s="36"/>
      <c r="AB246" s="36"/>
      <c r="AC246" s="36"/>
      <c r="AD246" s="36"/>
      <c r="AE246" s="36"/>
      <c r="AF246" s="36"/>
      <c r="AG246" s="36"/>
      <c r="AH246" s="36"/>
    </row>
    <row r="247">
      <c r="A247" s="37" t="s">
        <v>38</v>
      </c>
      <c r="B247" s="40" t="s">
        <v>587</v>
      </c>
      <c r="C247" s="37" t="s">
        <v>588</v>
      </c>
      <c r="D247" s="37" t="str">
        <f>IFERROR(__xludf.DUMMYFUNCTION("GOOGLETRANSLATE(C247,""en"",""fr"")"),"Protocole :
- Distribuer 30 comprimés d’hydrochlorothiazide 25 mg à prendre chaque matin.
")</f>
        <v>Protocole :
- Distribuer 30 comprimés d’hydrochlorothiazide 25 mg à prendre chaque matin.
</v>
      </c>
      <c r="E247" s="37" t="str">
        <f>IFERROR(__xludf.DUMMYFUNCTION("GOOGLETRANSLATE(C247,""en"",""ht"")"),"Pwotokòl:
- Distribye 30 Idroklorotiyazid 25mg pou pran chak maten
")</f>
        <v>Pwotokòl:
- Distribye 30 Idroklorotiyazid 25mg pou pran chak maten
</v>
      </c>
      <c r="F247" s="34"/>
      <c r="G247" s="34"/>
      <c r="H247" s="34"/>
      <c r="I247" s="34"/>
      <c r="J247" s="34"/>
      <c r="K247" s="34"/>
      <c r="L247" s="34"/>
      <c r="M247" s="34"/>
      <c r="N247" s="34"/>
      <c r="O247" s="34"/>
      <c r="P247" s="34"/>
      <c r="Q247" s="34"/>
      <c r="R247" s="34"/>
      <c r="S247" s="34"/>
      <c r="T247" s="34"/>
      <c r="U247" s="34"/>
      <c r="V247" s="34"/>
      <c r="W247" s="34"/>
      <c r="X247" s="34"/>
      <c r="Y247" s="34"/>
      <c r="Z247" s="36"/>
      <c r="AA247" s="36"/>
      <c r="AB247" s="36"/>
      <c r="AC247" s="36"/>
      <c r="AD247" s="36"/>
      <c r="AE247" s="36"/>
      <c r="AF247" s="36"/>
      <c r="AG247" s="36"/>
      <c r="AH247" s="36"/>
    </row>
    <row r="248">
      <c r="A248" s="37" t="s">
        <v>38</v>
      </c>
      <c r="B248" s="40" t="s">
        <v>589</v>
      </c>
      <c r="C248" s="37" t="s">
        <v>568</v>
      </c>
      <c r="D248" s="37" t="str">
        <f>IFERROR(__xludf.DUMMYFUNCTION("GOOGLETRANSLATE(C248,""en"",""fr"")"),"Conseils :
- Consultez un médecin en cas de signes de danger : vision trouble, maux de tête, raideur de la nuque ou difficultés d'élocution.
- Adoptez une alimentation saine : réduisez votre consommation de sel et d'aliments frits, et privilégiez les fr"&amp;"uits et légumes.
- Insistez sur l'importance de ne jamais interrompre votre traitement.
- Prévoyez un rendez-vous de suivi dans un mois pour contrôler votre tension artérielle et renouveler votre ordonnance.")</f>
        <v>Conseils :
- Consultez un médecin en cas de signes de danger : vision trouble, maux de tête, raideur de la nuque ou difficultés d'élocution.
- Adoptez une alimentation saine : réduisez votre consommation de sel et d'aliments frits, et privilégiez les fruits et légumes.
- Insistez sur l'importance de ne jamais interrompre votre traitement.
- Prévoyez un rendez-vous de suivi dans un mois pour contrôler votre tension artérielle et renouveler votre ordonnance.</v>
      </c>
      <c r="E248" s="37" t="str">
        <f>IFERROR(__xludf.DUMMYFUNCTION("GOOGLETRANSLATE(C248,""en"",""ht"")"),"Konsèy:
- Ale lopital si gen siy danje: vizyon twoub, maltèt, rèd nan kou, oswa difikilte pou pale.
- Rejim alimantè ki an sante: diminye sèl, diminye manje fri, epi manje plis fwi ak legim.
- Bay konsèy sou nesesite pou pa janm sispann pran medikaman an."&amp;"
- Konseye yon swivi nan 1 mwa pou kontwòl tansyon ak renouvèlman medikaman.")</f>
        <v>Konsèy:
- Ale lopital si gen siy danje: vizyon twoub, maltèt, rèd nan kou, oswa difikilte pou pale.
- Rejim alimantè ki an sante: diminye sèl, diminye manje fri, epi manje plis fwi ak legim.
- Bay konsèy sou nesesite pou pa janm sispann pran medikaman an.
- Konseye yon swivi nan 1 mwa pou kontwòl tansyon ak renouvèlman medikaman.</v>
      </c>
      <c r="F248" s="34"/>
      <c r="G248" s="34"/>
      <c r="H248" s="34"/>
      <c r="I248" s="34"/>
      <c r="J248" s="34"/>
      <c r="K248" s="34"/>
      <c r="L248" s="34"/>
      <c r="M248" s="34"/>
      <c r="N248" s="34"/>
      <c r="O248" s="34"/>
      <c r="P248" s="34"/>
      <c r="Q248" s="34"/>
      <c r="R248" s="34"/>
      <c r="S248" s="34"/>
      <c r="T248" s="34"/>
      <c r="U248" s="34"/>
      <c r="V248" s="34"/>
      <c r="W248" s="34"/>
      <c r="X248" s="34"/>
      <c r="Y248" s="34"/>
      <c r="Z248" s="36"/>
      <c r="AA248" s="36"/>
      <c r="AB248" s="36"/>
      <c r="AC248" s="36"/>
      <c r="AD248" s="36"/>
      <c r="AE248" s="36"/>
      <c r="AF248" s="36"/>
      <c r="AG248" s="36"/>
      <c r="AH248" s="36"/>
    </row>
    <row r="249">
      <c r="A249" s="37" t="s">
        <v>445</v>
      </c>
      <c r="B249" s="40" t="s">
        <v>590</v>
      </c>
      <c r="C249" s="37" t="s">
        <v>570</v>
      </c>
      <c r="D249" s="37" t="str">
        <f>IFERROR(__xludf.DUMMYFUNCTION("GOOGLETRANSLATE(C249,""en"",""fr"")"),"Avez-vous distribué 30 comprimés d'hydrochlorothiazide 25 mg ?")</f>
        <v>Avez-vous distribué 30 comprimés d'hydrochlorothiazide 25 mg ?</v>
      </c>
      <c r="E249" s="37" t="str">
        <f>IFERROR(__xludf.DUMMYFUNCTION("GOOGLETRANSLATE(C249,""en"",""ht"")"),"Èske ou te distribye 30 idroklorotiyazid 25mg?")</f>
        <v>Èske ou te distribye 30 idroklorotiyazid 25mg?</v>
      </c>
      <c r="F249" s="34"/>
      <c r="G249" s="34"/>
      <c r="H249" s="34"/>
      <c r="I249" s="34"/>
      <c r="J249" s="34"/>
      <c r="K249" s="34"/>
      <c r="L249" s="34"/>
      <c r="M249" s="34"/>
      <c r="N249" s="34"/>
      <c r="O249" s="34"/>
      <c r="P249" s="34"/>
      <c r="Q249" s="34"/>
      <c r="R249" s="34"/>
      <c r="S249" s="34"/>
      <c r="T249" s="34"/>
      <c r="U249" s="34"/>
      <c r="V249" s="34"/>
      <c r="W249" s="34"/>
      <c r="X249" s="34"/>
      <c r="Y249" s="34"/>
      <c r="Z249" s="36"/>
      <c r="AA249" s="36"/>
      <c r="AB249" s="36"/>
      <c r="AC249" s="36"/>
      <c r="AD249" s="36"/>
      <c r="AE249" s="36"/>
      <c r="AF249" s="36"/>
      <c r="AG249" s="36"/>
      <c r="AH249" s="36"/>
    </row>
    <row r="250">
      <c r="A250" s="37" t="s">
        <v>102</v>
      </c>
      <c r="B250" s="40" t="s">
        <v>591</v>
      </c>
      <c r="C250" s="37" t="s">
        <v>54</v>
      </c>
      <c r="D250" s="34" t="str">
        <f>IFERROR(__xludf.DUMMYFUNCTION("GOOGLETRANSLATE(C250,""en"",""fr"")"),"SANS ÉTIQUETTE")</f>
        <v>SANS ÉTIQUETTE</v>
      </c>
      <c r="E250" s="34" t="str">
        <f>IFERROR(__xludf.DUMMYFUNCTION("GOOGLETRANSLATE(C250,""en"",""ht"")"),"PA GEN_ETIKÈT")</f>
        <v>PA GEN_ETIKÈT</v>
      </c>
      <c r="F250" s="34"/>
      <c r="G250" s="34"/>
      <c r="H250" s="34"/>
      <c r="I250" s="34"/>
      <c r="J250" s="34"/>
      <c r="K250" s="34"/>
      <c r="L250" s="34"/>
      <c r="M250" s="34"/>
      <c r="N250" s="34"/>
      <c r="O250" s="34"/>
      <c r="P250" s="37"/>
      <c r="Q250" s="37" t="s">
        <v>592</v>
      </c>
      <c r="R250" s="34"/>
      <c r="S250" s="34"/>
      <c r="T250" s="34"/>
      <c r="U250" s="34"/>
      <c r="V250" s="34"/>
      <c r="W250" s="34"/>
      <c r="X250" s="34"/>
      <c r="Y250" s="34"/>
      <c r="Z250" s="36"/>
      <c r="AA250" s="36"/>
      <c r="AB250" s="36"/>
      <c r="AC250" s="36"/>
      <c r="AD250" s="36"/>
      <c r="AE250" s="36"/>
      <c r="AF250" s="36"/>
      <c r="AG250" s="36"/>
      <c r="AH250" s="36"/>
    </row>
    <row r="251">
      <c r="A251" s="37" t="s">
        <v>451</v>
      </c>
      <c r="B251" s="40" t="s">
        <v>593</v>
      </c>
      <c r="C251" s="37" t="s">
        <v>453</v>
      </c>
      <c r="D251" s="39" t="str">
        <f>IFERROR(__xludf.DUMMYFUNCTION("GOOGLETRANSLATE(C251,""en"",""fr"")"),"Vous avez laissé au moins une confirmation de médicament vide. Si cela est intentionnel, veuillez indiquer pourquoi ci-dessous.")</f>
        <v>Vous avez laissé au moins une confirmation de médicament vide. Si cela est intentionnel, veuillez indiquer pourquoi ci-dessous.</v>
      </c>
      <c r="E251" s="39" t="str">
        <f>IFERROR(__xludf.DUMMYFUNCTION("GOOGLETRANSLATE(C251,""en"",""ht"")"),"Ou kite omwen yon konfimasyon medikaman vid. Si se espre, ekri poukisa anba a.")</f>
        <v>Ou kite omwen yon konfimasyon medikaman vid. Si se espre, ekri poukisa anba a.</v>
      </c>
      <c r="F251" s="37" t="s">
        <v>454</v>
      </c>
      <c r="G251" s="37" t="str">
        <f>IFERROR(__xludf.DUMMYFUNCTION("GOOGLETRANSLATE(F251,""en"",""fr"")"),"Si vous avez distribué une quantité différente de médicaments, notez combien.")</f>
        <v>Si vous avez distribué une quantité différente de médicaments, notez combien.</v>
      </c>
      <c r="H251" s="37" t="str">
        <f>IFERROR(__xludf.DUMMYFUNCTION("GOOGLETRANSLATE(F251,""en"",""ht"")"),"Si ou te distribye yon kantite dwòg diferan, anrejistre konbyen.")</f>
        <v>Si ou te distribye yon kantite dwòg diferan, anrejistre konbyen.</v>
      </c>
      <c r="I251" s="37" t="s">
        <v>68</v>
      </c>
      <c r="J251" s="37" t="s">
        <v>594</v>
      </c>
      <c r="K251" s="34"/>
      <c r="L251" s="34"/>
      <c r="M251" s="34"/>
      <c r="N251" s="34"/>
      <c r="O251" s="34"/>
      <c r="P251" s="34"/>
      <c r="Q251" s="34"/>
      <c r="R251" s="34"/>
      <c r="S251" s="34"/>
      <c r="T251" s="34"/>
      <c r="U251" s="34"/>
      <c r="V251" s="34"/>
      <c r="W251" s="34"/>
      <c r="X251" s="34"/>
      <c r="Y251" s="34"/>
      <c r="Z251" s="36"/>
      <c r="AA251" s="36"/>
      <c r="AB251" s="36"/>
      <c r="AC251" s="36"/>
      <c r="AD251" s="36"/>
      <c r="AE251" s="36"/>
      <c r="AF251" s="36"/>
      <c r="AG251" s="36"/>
      <c r="AH251" s="36"/>
    </row>
    <row r="252">
      <c r="A252" s="37" t="s">
        <v>451</v>
      </c>
      <c r="B252" s="40" t="s">
        <v>595</v>
      </c>
      <c r="C252" s="37" t="s">
        <v>457</v>
      </c>
      <c r="D252" s="37" t="str">
        <f>IFERROR(__xludf.DUMMYFUNCTION("GOOGLETRANSLATE(C252,""en"",""fr"")"),"Notes cliniques :")</f>
        <v>Notes cliniques :</v>
      </c>
      <c r="E252" s="37" t="str">
        <f>IFERROR(__xludf.DUMMYFUNCTION("GOOGLETRANSLATE(C252,""en"",""ht"")"),"Nòt klinik:")</f>
        <v>Nòt klinik:</v>
      </c>
      <c r="F252" s="34"/>
      <c r="G252" s="34"/>
      <c r="H252" s="34"/>
      <c r="I252" s="34"/>
      <c r="J252" s="34"/>
      <c r="K252" s="34"/>
      <c r="L252" s="34"/>
      <c r="M252" s="34"/>
      <c r="N252" s="34"/>
      <c r="O252" s="34"/>
      <c r="P252" s="34"/>
      <c r="Q252" s="34"/>
      <c r="R252" s="34"/>
      <c r="S252" s="34"/>
      <c r="T252" s="34"/>
      <c r="U252" s="34"/>
      <c r="V252" s="34"/>
      <c r="W252" s="34"/>
      <c r="X252" s="34"/>
      <c r="Y252" s="34"/>
      <c r="Z252" s="36"/>
      <c r="AA252" s="36"/>
      <c r="AB252" s="36"/>
      <c r="AC252" s="36"/>
      <c r="AD252" s="36"/>
      <c r="AE252" s="36"/>
      <c r="AF252" s="36"/>
      <c r="AG252" s="36"/>
      <c r="AH252" s="36"/>
    </row>
    <row r="253">
      <c r="A253" s="37" t="s">
        <v>82</v>
      </c>
      <c r="B253" s="40" t="s">
        <v>582</v>
      </c>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6"/>
      <c r="AA253" s="36"/>
      <c r="AB253" s="36"/>
      <c r="AC253" s="36"/>
      <c r="AD253" s="36"/>
      <c r="AE253" s="36"/>
      <c r="AF253" s="36"/>
      <c r="AG253" s="36"/>
      <c r="AH253" s="36"/>
    </row>
    <row r="254">
      <c r="A254" s="37" t="s">
        <v>49</v>
      </c>
      <c r="B254" s="40" t="s">
        <v>596</v>
      </c>
      <c r="C254" s="37" t="s">
        <v>380</v>
      </c>
      <c r="D254" s="37" t="s">
        <v>597</v>
      </c>
      <c r="E254" s="37" t="s">
        <v>598</v>
      </c>
      <c r="F254" s="34"/>
      <c r="G254" s="34"/>
      <c r="H254" s="34"/>
      <c r="I254" s="34"/>
      <c r="J254" s="37" t="s">
        <v>381</v>
      </c>
      <c r="K254" s="37" t="s">
        <v>58</v>
      </c>
      <c r="L254" s="34"/>
      <c r="M254" s="34"/>
      <c r="N254" s="34"/>
      <c r="O254" s="34"/>
      <c r="P254" s="34"/>
      <c r="Q254" s="34"/>
      <c r="R254" s="34"/>
      <c r="S254" s="34"/>
      <c r="T254" s="34"/>
      <c r="U254" s="34"/>
      <c r="V254" s="34"/>
      <c r="W254" s="34"/>
      <c r="X254" s="34"/>
      <c r="Y254" s="34"/>
      <c r="Z254" s="36"/>
      <c r="AA254" s="36"/>
      <c r="AB254" s="36"/>
      <c r="AC254" s="36"/>
      <c r="AD254" s="36"/>
      <c r="AE254" s="36"/>
      <c r="AF254" s="36"/>
      <c r="AG254" s="36"/>
      <c r="AH254" s="36"/>
    </row>
    <row r="255">
      <c r="A255" s="37" t="s">
        <v>38</v>
      </c>
      <c r="B255" s="40" t="s">
        <v>599</v>
      </c>
      <c r="C255" s="37" t="s">
        <v>600</v>
      </c>
      <c r="D255" s="37" t="str">
        <f>IFERROR(__xludf.DUMMYFUNCTION("GOOGLETRANSLATE(C255,""en"",""fr"")"),"Le patient présente un AVC actif.")</f>
        <v>Le patient présente un AVC actif.</v>
      </c>
      <c r="E255" s="37" t="str">
        <f>IFERROR(__xludf.DUMMYFUNCTION("GOOGLETRANSLATE(C255,""en"",""ht"")"),"Pasyan an gen yon konjesyon serebral aktif")</f>
        <v>Pasyan an gen yon konjesyon serebral aktif</v>
      </c>
      <c r="F255" s="34"/>
      <c r="G255" s="34"/>
      <c r="H255" s="34"/>
      <c r="I255" s="34"/>
      <c r="J255" s="34"/>
      <c r="K255" s="37" t="s">
        <v>197</v>
      </c>
      <c r="L255" s="34"/>
      <c r="M255" s="34"/>
      <c r="N255" s="34"/>
      <c r="O255" s="34"/>
      <c r="P255" s="34"/>
      <c r="Q255" s="34"/>
      <c r="R255" s="34"/>
      <c r="S255" s="34"/>
      <c r="T255" s="34"/>
      <c r="U255" s="34"/>
      <c r="V255" s="34"/>
      <c r="W255" s="34"/>
      <c r="X255" s="34"/>
      <c r="Y255" s="34"/>
      <c r="Z255" s="36"/>
      <c r="AA255" s="36"/>
      <c r="AB255" s="36"/>
      <c r="AC255" s="36"/>
      <c r="AD255" s="36"/>
      <c r="AE255" s="36"/>
      <c r="AF255" s="36"/>
      <c r="AG255" s="36"/>
      <c r="AH255" s="36"/>
    </row>
    <row r="256">
      <c r="A256" s="37" t="s">
        <v>38</v>
      </c>
      <c r="B256" s="40" t="s">
        <v>601</v>
      </c>
      <c r="C256" s="37" t="s">
        <v>602</v>
      </c>
      <c r="D256" s="37" t="str">
        <f>IFERROR(__xludf.DUMMYFUNCTION("GOOGLETRANSLATE(C256,""en"",""fr"")"),"Protocole :
- Contrôler la pression artérielle
- Traiter l’hypertension
- Orienter immédiatement vers un spécialiste")</f>
        <v>Protocole :
- Contrôler la pression artérielle
- Traiter l’hypertension
- Orienter immédiatement vers un spécialiste</v>
      </c>
      <c r="E256" s="37" t="str">
        <f>IFERROR(__xludf.DUMMYFUNCTION("GOOGLETRANSLATE(C256,""en"",""ht"")"),"Pwotokòl:
- Kontwole tansyon
- Trete tansyon wo
- Refere imedyatman bay yon doktè")</f>
        <v>Pwotokòl:
- Kontwole tansyon
- Trete tansyon wo
- Refere imedyatman bay yon doktè</v>
      </c>
      <c r="F256" s="34"/>
      <c r="G256" s="34"/>
      <c r="H256" s="34"/>
      <c r="I256" s="34"/>
      <c r="J256" s="34"/>
      <c r="K256" s="34"/>
      <c r="L256" s="34"/>
      <c r="M256" s="34"/>
      <c r="N256" s="34"/>
      <c r="O256" s="34"/>
      <c r="P256" s="34"/>
      <c r="Q256" s="34"/>
      <c r="R256" s="34"/>
      <c r="S256" s="34"/>
      <c r="T256" s="34"/>
      <c r="U256" s="34"/>
      <c r="V256" s="34"/>
      <c r="W256" s="34"/>
      <c r="X256" s="34"/>
      <c r="Y256" s="34"/>
      <c r="Z256" s="36"/>
      <c r="AA256" s="36"/>
      <c r="AB256" s="36"/>
      <c r="AC256" s="36"/>
      <c r="AD256" s="36"/>
      <c r="AE256" s="36"/>
      <c r="AF256" s="36"/>
      <c r="AG256" s="36"/>
      <c r="AH256" s="36"/>
    </row>
    <row r="257">
      <c r="A257" s="37" t="s">
        <v>38</v>
      </c>
      <c r="B257" s="40" t="s">
        <v>603</v>
      </c>
      <c r="C257" s="37" t="s">
        <v>444</v>
      </c>
      <c r="D257" s="37" t="str">
        <f>IFERROR(__xludf.DUMMYFUNCTION("GOOGLETRANSLATE(C257,""en"",""fr"")"),"Accompagnement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57" s="37" t="str">
        <f>IFERROR(__xludf.DUMMYFUNCTION("GOOGLETRANSLATE(C257,""en"",""ht"")"),"Konsèy:
- (Konsèy TODO pa bay nan pwotokòl swen yo - ajoute kòm espas vid pou fidbak enfimyè yo)")</f>
        <v>Konsèy:
- (Konsèy TODO pa bay nan pwotokòl swen yo - ajoute kòm espas vid pou fidbak enfimyè yo)</v>
      </c>
      <c r="F257" s="34"/>
      <c r="G257" s="34"/>
      <c r="H257" s="34"/>
      <c r="I257" s="34"/>
      <c r="J257" s="34"/>
      <c r="K257" s="34"/>
      <c r="L257" s="34"/>
      <c r="M257" s="34"/>
      <c r="N257" s="34"/>
      <c r="O257" s="34"/>
      <c r="P257" s="34"/>
      <c r="Q257" s="34"/>
      <c r="R257" s="34"/>
      <c r="S257" s="34"/>
      <c r="T257" s="34"/>
      <c r="U257" s="34"/>
      <c r="V257" s="34"/>
      <c r="W257" s="34"/>
      <c r="X257" s="34"/>
      <c r="Y257" s="34"/>
      <c r="Z257" s="36"/>
      <c r="AA257" s="36"/>
      <c r="AB257" s="36"/>
      <c r="AC257" s="36"/>
      <c r="AD257" s="36"/>
      <c r="AE257" s="36"/>
      <c r="AF257" s="36"/>
      <c r="AG257" s="36"/>
      <c r="AH257" s="36"/>
    </row>
    <row r="258">
      <c r="A258" s="37" t="s">
        <v>451</v>
      </c>
      <c r="B258" s="40" t="s">
        <v>604</v>
      </c>
      <c r="C258" s="37" t="s">
        <v>457</v>
      </c>
      <c r="D258" s="37" t="str">
        <f>IFERROR(__xludf.DUMMYFUNCTION("GOOGLETRANSLATE(C258,""en"",""fr"")"),"Notes cliniques :")</f>
        <v>Notes cliniques :</v>
      </c>
      <c r="E258" s="37" t="str">
        <f>IFERROR(__xludf.DUMMYFUNCTION("GOOGLETRANSLATE(C258,""en"",""ht"")"),"Nòt klinik:")</f>
        <v>Nòt klinik:</v>
      </c>
      <c r="F258" s="34"/>
      <c r="G258" s="34"/>
      <c r="H258" s="34"/>
      <c r="I258" s="34"/>
      <c r="J258" s="34"/>
      <c r="K258" s="34"/>
      <c r="L258" s="34"/>
      <c r="M258" s="34"/>
      <c r="N258" s="34"/>
      <c r="O258" s="34"/>
      <c r="P258" s="34"/>
      <c r="Q258" s="34"/>
      <c r="R258" s="34"/>
      <c r="S258" s="34"/>
      <c r="T258" s="34"/>
      <c r="U258" s="34"/>
      <c r="V258" s="34"/>
      <c r="W258" s="34"/>
      <c r="X258" s="34"/>
      <c r="Y258" s="34"/>
      <c r="Z258" s="36"/>
      <c r="AA258" s="36"/>
      <c r="AB258" s="36"/>
      <c r="AC258" s="36"/>
      <c r="AD258" s="36"/>
      <c r="AE258" s="36"/>
      <c r="AF258" s="36"/>
      <c r="AG258" s="36"/>
      <c r="AH258" s="36"/>
    </row>
    <row r="259">
      <c r="A259" s="37" t="s">
        <v>82</v>
      </c>
      <c r="B259" s="40" t="s">
        <v>596</v>
      </c>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6"/>
      <c r="AA259" s="36"/>
      <c r="AB259" s="36"/>
      <c r="AC259" s="36"/>
      <c r="AD259" s="36"/>
      <c r="AE259" s="36"/>
      <c r="AF259" s="36"/>
      <c r="AG259" s="36"/>
      <c r="AH259" s="36"/>
    </row>
    <row r="260">
      <c r="A260" s="37" t="s">
        <v>49</v>
      </c>
      <c r="B260" s="40" t="s">
        <v>605</v>
      </c>
      <c r="C260" s="37" t="s">
        <v>373</v>
      </c>
      <c r="D260" s="37" t="s">
        <v>606</v>
      </c>
      <c r="E260" s="37" t="s">
        <v>607</v>
      </c>
      <c r="F260" s="34"/>
      <c r="G260" s="34"/>
      <c r="H260" s="34"/>
      <c r="I260" s="34"/>
      <c r="J260" s="37" t="s">
        <v>374</v>
      </c>
      <c r="K260" s="37" t="s">
        <v>58</v>
      </c>
      <c r="L260" s="34"/>
      <c r="M260" s="34"/>
      <c r="N260" s="34"/>
      <c r="O260" s="34"/>
      <c r="P260" s="34"/>
      <c r="Q260" s="34"/>
      <c r="R260" s="34"/>
      <c r="S260" s="34"/>
      <c r="T260" s="34"/>
      <c r="U260" s="34"/>
      <c r="V260" s="34"/>
      <c r="W260" s="34"/>
      <c r="X260" s="34"/>
      <c r="Y260" s="34"/>
      <c r="Z260" s="36"/>
      <c r="AA260" s="36"/>
      <c r="AB260" s="36"/>
      <c r="AC260" s="36"/>
      <c r="AD260" s="36"/>
      <c r="AE260" s="36"/>
      <c r="AF260" s="36"/>
      <c r="AG260" s="36"/>
      <c r="AH260" s="36"/>
    </row>
    <row r="261">
      <c r="A261" s="37" t="s">
        <v>38</v>
      </c>
      <c r="B261" s="40" t="s">
        <v>608</v>
      </c>
      <c r="C261" s="37" t="s">
        <v>609</v>
      </c>
      <c r="D261" s="37" t="str">
        <f>IFERROR(__xludf.DUMMYFUNCTION("GOOGLETRANSLATE(C261,""en"",""fr"")"),"Le patient présente un accident ischémique transitoire (AIT).")</f>
        <v>Le patient présente un accident ischémique transitoire (AIT).</v>
      </c>
      <c r="E261" s="37" t="str">
        <f>IFERROR(__xludf.DUMMYFUNCTION("GOOGLETRANSLATE(C261,""en"",""ht"")"),"Pasyan an gen yon atak ischemik tanporè (TIA)")</f>
        <v>Pasyan an gen yon atak ischemik tanporè (TIA)</v>
      </c>
      <c r="F261" s="34"/>
      <c r="G261" s="34"/>
      <c r="H261" s="34"/>
      <c r="I261" s="34"/>
      <c r="J261" s="34"/>
      <c r="K261" s="37" t="s">
        <v>197</v>
      </c>
      <c r="L261" s="34"/>
      <c r="M261" s="34"/>
      <c r="N261" s="34"/>
      <c r="O261" s="34"/>
      <c r="P261" s="34"/>
      <c r="Q261" s="34"/>
      <c r="R261" s="34"/>
      <c r="S261" s="34"/>
      <c r="T261" s="34"/>
      <c r="U261" s="34"/>
      <c r="V261" s="34"/>
      <c r="W261" s="34"/>
      <c r="X261" s="34"/>
      <c r="Y261" s="34"/>
      <c r="Z261" s="36"/>
      <c r="AA261" s="36"/>
      <c r="AB261" s="36"/>
      <c r="AC261" s="36"/>
      <c r="AD261" s="36"/>
      <c r="AE261" s="36"/>
      <c r="AF261" s="36"/>
      <c r="AG261" s="36"/>
      <c r="AH261" s="36"/>
    </row>
    <row r="262">
      <c r="A262" s="37" t="s">
        <v>38</v>
      </c>
      <c r="B262" s="40" t="s">
        <v>610</v>
      </c>
      <c r="C262" s="37" t="s">
        <v>611</v>
      </c>
      <c r="D262" s="37" t="str">
        <f>IFERROR(__xludf.DUMMYFUNCTION("GOOGLETRANSLATE(C262,""en"",""fr"")"),"Protocole :
- Contrôler la tension artérielle
- Traiter l’hypertension
- Orientation urgente vers un spécialiste hospitalier")</f>
        <v>Protocole :
- Contrôler la tension artérielle
- Traiter l’hypertension
- Orientation urgente vers un spécialiste hospitalier</v>
      </c>
      <c r="E262" s="37" t="str">
        <f>IFERROR(__xludf.DUMMYFUNCTION("GOOGLETRANSLATE(C262,""en"",""ht"")"),"Pwotokòl:
- Kontwole tansyon
- Trete tansyon wo
- Referans ijan bay yon espesyalis lopital")</f>
        <v>Pwotokòl:
- Kontwole tansyon
- Trete tansyon wo
- Referans ijan bay yon espesyalis lopital</v>
      </c>
      <c r="F262" s="34"/>
      <c r="G262" s="34"/>
      <c r="H262" s="34"/>
      <c r="I262" s="34"/>
      <c r="J262" s="34"/>
      <c r="K262" s="34"/>
      <c r="L262" s="34"/>
      <c r="M262" s="34"/>
      <c r="N262" s="34"/>
      <c r="O262" s="34"/>
      <c r="P262" s="34"/>
      <c r="Q262" s="34"/>
      <c r="R262" s="34"/>
      <c r="S262" s="34"/>
      <c r="T262" s="34"/>
      <c r="U262" s="34"/>
      <c r="V262" s="34"/>
      <c r="W262" s="34"/>
      <c r="X262" s="34"/>
      <c r="Y262" s="34"/>
      <c r="Z262" s="36"/>
      <c r="AA262" s="36"/>
      <c r="AB262" s="36"/>
      <c r="AC262" s="36"/>
      <c r="AD262" s="36"/>
      <c r="AE262" s="36"/>
      <c r="AF262" s="36"/>
      <c r="AG262" s="36"/>
      <c r="AH262" s="36"/>
    </row>
    <row r="263">
      <c r="A263" s="37" t="s">
        <v>38</v>
      </c>
      <c r="B263" s="40" t="s">
        <v>612</v>
      </c>
      <c r="C263" s="37" t="s">
        <v>444</v>
      </c>
      <c r="D263" s="37" t="str">
        <f>IFERROR(__xludf.DUMMYFUNCTION("GOOGLETRANSLATE(C263,""en"",""fr"")"),"Accompagnement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63" s="37" t="str">
        <f>IFERROR(__xludf.DUMMYFUNCTION("GOOGLETRANSLATE(C263,""en"",""ht"")"),"Konsèy:
- (Konsèy TODO pa bay nan pwotokòl swen yo - ajoute kòm espas vid pou fidbak enfimyè yo)")</f>
        <v>Konsèy:
- (Konsèy TODO pa bay nan pwotokòl swen yo - ajoute kòm espas vid pou fidbak enfimyè yo)</v>
      </c>
      <c r="F263" s="34"/>
      <c r="G263" s="34"/>
      <c r="H263" s="34"/>
      <c r="I263" s="34"/>
      <c r="J263" s="34"/>
      <c r="K263" s="34"/>
      <c r="L263" s="34"/>
      <c r="M263" s="34"/>
      <c r="N263" s="34"/>
      <c r="O263" s="34"/>
      <c r="P263" s="34"/>
      <c r="Q263" s="34"/>
      <c r="R263" s="34"/>
      <c r="S263" s="34"/>
      <c r="T263" s="34"/>
      <c r="U263" s="34"/>
      <c r="V263" s="34"/>
      <c r="W263" s="34"/>
      <c r="X263" s="34"/>
      <c r="Y263" s="34"/>
      <c r="Z263" s="36"/>
      <c r="AA263" s="36"/>
      <c r="AB263" s="36"/>
      <c r="AC263" s="36"/>
      <c r="AD263" s="36"/>
      <c r="AE263" s="36"/>
      <c r="AF263" s="36"/>
      <c r="AG263" s="36"/>
      <c r="AH263" s="36"/>
    </row>
    <row r="264">
      <c r="A264" s="37" t="s">
        <v>451</v>
      </c>
      <c r="B264" s="40" t="s">
        <v>613</v>
      </c>
      <c r="C264" s="37" t="s">
        <v>457</v>
      </c>
      <c r="D264" s="37" t="str">
        <f>IFERROR(__xludf.DUMMYFUNCTION("GOOGLETRANSLATE(C264,""en"",""fr"")"),"Notes cliniques :")</f>
        <v>Notes cliniques :</v>
      </c>
      <c r="E264" s="37" t="str">
        <f>IFERROR(__xludf.DUMMYFUNCTION("GOOGLETRANSLATE(C264,""en"",""ht"")"),"Nòt klinik:")</f>
        <v>Nòt klinik:</v>
      </c>
      <c r="F264" s="34"/>
      <c r="G264" s="34"/>
      <c r="H264" s="34"/>
      <c r="I264" s="34"/>
      <c r="J264" s="34"/>
      <c r="K264" s="34"/>
      <c r="L264" s="34"/>
      <c r="M264" s="34"/>
      <c r="N264" s="34"/>
      <c r="O264" s="34"/>
      <c r="P264" s="34"/>
      <c r="Q264" s="34"/>
      <c r="R264" s="34"/>
      <c r="S264" s="34"/>
      <c r="T264" s="34"/>
      <c r="U264" s="34"/>
      <c r="V264" s="34"/>
      <c r="W264" s="34"/>
      <c r="X264" s="34"/>
      <c r="Y264" s="34"/>
      <c r="Z264" s="36"/>
      <c r="AA264" s="36"/>
      <c r="AB264" s="36"/>
      <c r="AC264" s="36"/>
      <c r="AD264" s="36"/>
      <c r="AE264" s="36"/>
      <c r="AF264" s="36"/>
      <c r="AG264" s="36"/>
      <c r="AH264" s="36"/>
    </row>
    <row r="265">
      <c r="A265" s="37" t="s">
        <v>82</v>
      </c>
      <c r="B265" s="40" t="s">
        <v>605</v>
      </c>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6"/>
      <c r="AA265" s="36"/>
      <c r="AB265" s="36"/>
      <c r="AC265" s="36"/>
      <c r="AD265" s="36"/>
      <c r="AE265" s="36"/>
      <c r="AF265" s="36"/>
      <c r="AG265" s="36"/>
      <c r="AH265" s="36"/>
    </row>
    <row r="266">
      <c r="A266" s="37" t="s">
        <v>49</v>
      </c>
      <c r="B266" s="40" t="s">
        <v>614</v>
      </c>
      <c r="C266" s="37" t="s">
        <v>387</v>
      </c>
      <c r="D266" s="37" t="s">
        <v>615</v>
      </c>
      <c r="E266" s="37" t="s">
        <v>616</v>
      </c>
      <c r="F266" s="34"/>
      <c r="G266" s="34"/>
      <c r="H266" s="34"/>
      <c r="I266" s="34"/>
      <c r="J266" s="37" t="s">
        <v>388</v>
      </c>
      <c r="K266" s="37" t="s">
        <v>58</v>
      </c>
      <c r="L266" s="34"/>
      <c r="M266" s="34"/>
      <c r="N266" s="34"/>
      <c r="O266" s="34"/>
      <c r="P266" s="34"/>
      <c r="Q266" s="34"/>
      <c r="R266" s="34"/>
      <c r="S266" s="34"/>
      <c r="T266" s="34"/>
      <c r="U266" s="34"/>
      <c r="V266" s="34"/>
      <c r="W266" s="34"/>
      <c r="X266" s="34"/>
      <c r="Y266" s="34"/>
      <c r="Z266" s="36"/>
      <c r="AA266" s="36"/>
      <c r="AB266" s="36"/>
      <c r="AC266" s="36"/>
      <c r="AD266" s="36"/>
      <c r="AE266" s="36"/>
      <c r="AF266" s="36"/>
      <c r="AG266" s="36"/>
      <c r="AH266" s="36"/>
    </row>
    <row r="267">
      <c r="A267" s="37" t="s">
        <v>38</v>
      </c>
      <c r="B267" s="40" t="s">
        <v>617</v>
      </c>
      <c r="C267" s="37" t="s">
        <v>618</v>
      </c>
      <c r="D267" s="37" t="str">
        <f>IFERROR(__xludf.DUMMYFUNCTION("GOOGLETRANSLATE(C267,""en"",""fr"")"),"Le patient a des antécédents d'AVC.")</f>
        <v>Le patient a des antécédents d'AVC.</v>
      </c>
      <c r="E267" s="37" t="str">
        <f>IFERROR(__xludf.DUMMYFUNCTION("GOOGLETRANSLATE(C267,""en"",""ht"")"),"Pasyan an te deja fè yon konjesyon serebral (AVC)")</f>
        <v>Pasyan an te deja fè yon konjesyon serebral (AVC)</v>
      </c>
      <c r="F267" s="34"/>
      <c r="G267" s="34"/>
      <c r="H267" s="34"/>
      <c r="I267" s="34"/>
      <c r="J267" s="34"/>
      <c r="K267" s="37" t="s">
        <v>182</v>
      </c>
      <c r="L267" s="34"/>
      <c r="M267" s="34"/>
      <c r="N267" s="34"/>
      <c r="O267" s="34"/>
      <c r="P267" s="34"/>
      <c r="Q267" s="34"/>
      <c r="R267" s="34"/>
      <c r="S267" s="34"/>
      <c r="T267" s="34"/>
      <c r="U267" s="34"/>
      <c r="V267" s="34"/>
      <c r="W267" s="34"/>
      <c r="X267" s="34"/>
      <c r="Y267" s="34"/>
      <c r="Z267" s="36"/>
      <c r="AA267" s="36"/>
      <c r="AB267" s="36"/>
      <c r="AC267" s="36"/>
      <c r="AD267" s="36"/>
      <c r="AE267" s="36"/>
      <c r="AF267" s="36"/>
      <c r="AG267" s="36"/>
      <c r="AH267" s="36"/>
    </row>
    <row r="268">
      <c r="A268" s="37" t="s">
        <v>38</v>
      </c>
      <c r="B268" s="40" t="s">
        <v>619</v>
      </c>
      <c r="C268" s="37" t="s">
        <v>620</v>
      </c>
      <c r="D268" s="37" t="str">
        <f>IFERROR(__xludf.DUMMYFUNCTION("GOOGLETRANSLATE(C268,""en"",""fr"")"),"Protocole :
- Traiter l’hypertension pour prévenir les nouveaux AVC")</f>
        <v>Protocole :
- Traiter l’hypertension pour prévenir les nouveaux AVC</v>
      </c>
      <c r="E268" s="37" t="str">
        <f>IFERROR(__xludf.DUMMYFUNCTION("GOOGLETRANSLATE(C268,""en"",""ht"")"),"Pwotokòl:
- Trete tansyon wo pou anpeche nouvo konjesyon serebral")</f>
        <v>Pwotokòl:
- Trete tansyon wo pou anpeche nouvo konjesyon serebral</v>
      </c>
      <c r="F268" s="34"/>
      <c r="G268" s="34"/>
      <c r="H268" s="34"/>
      <c r="I268" s="34"/>
      <c r="J268" s="34"/>
      <c r="K268" s="34"/>
      <c r="L268" s="34"/>
      <c r="M268" s="34"/>
      <c r="N268" s="34"/>
      <c r="O268" s="34"/>
      <c r="P268" s="34"/>
      <c r="Q268" s="34"/>
      <c r="R268" s="34"/>
      <c r="S268" s="34"/>
      <c r="T268" s="34"/>
      <c r="U268" s="34"/>
      <c r="V268" s="34"/>
      <c r="W268" s="34"/>
      <c r="X268" s="34"/>
      <c r="Y268" s="34"/>
      <c r="Z268" s="36"/>
      <c r="AA268" s="36"/>
      <c r="AB268" s="36"/>
      <c r="AC268" s="36"/>
      <c r="AD268" s="36"/>
      <c r="AE268" s="36"/>
      <c r="AF268" s="36"/>
      <c r="AG268" s="36"/>
      <c r="AH268" s="36"/>
    </row>
    <row r="269">
      <c r="A269" s="37" t="s">
        <v>38</v>
      </c>
      <c r="B269" s="40" t="s">
        <v>621</v>
      </c>
      <c r="C269" s="37" t="s">
        <v>622</v>
      </c>
      <c r="D269" s="37" t="str">
        <f>IFERROR(__xludf.DUMMYFUNCTION("GOOGLETRANSLATE(C269,""en"",""fr"")"),"Conseils :
- Conseils sur la mobilisation et la nécessité d’une activité physique douce et régulière")</f>
        <v>Conseils :
- Conseils sur la mobilisation et la nécessité d’une activité physique douce et régulière</v>
      </c>
      <c r="E269" s="37" t="str">
        <f>IFERROR(__xludf.DUMMYFUNCTION("GOOGLETRANSLATE(C269,""en"",""ht"")"),"Konsèy:
- Konsèy sou mobilizasyon ak bezwen pou fè egzèsis fizik dou regilyèman")</f>
        <v>Konsèy:
- Konsèy sou mobilizasyon ak bezwen pou fè egzèsis fizik dou regilyèman</v>
      </c>
      <c r="F269" s="34"/>
      <c r="G269" s="34"/>
      <c r="H269" s="34"/>
      <c r="I269" s="34"/>
      <c r="J269" s="34"/>
      <c r="K269" s="34"/>
      <c r="L269" s="34"/>
      <c r="M269" s="34"/>
      <c r="N269" s="34"/>
      <c r="O269" s="34"/>
      <c r="P269" s="34"/>
      <c r="Q269" s="34"/>
      <c r="R269" s="34"/>
      <c r="S269" s="34"/>
      <c r="T269" s="34"/>
      <c r="U269" s="34"/>
      <c r="V269" s="34"/>
      <c r="W269" s="34"/>
      <c r="X269" s="34"/>
      <c r="Y269" s="34"/>
      <c r="Z269" s="36"/>
      <c r="AA269" s="36"/>
      <c r="AB269" s="36"/>
      <c r="AC269" s="36"/>
      <c r="AD269" s="36"/>
      <c r="AE269" s="36"/>
      <c r="AF269" s="36"/>
      <c r="AG269" s="36"/>
      <c r="AH269" s="36"/>
    </row>
    <row r="270">
      <c r="A270" s="37" t="s">
        <v>451</v>
      </c>
      <c r="B270" s="40" t="s">
        <v>623</v>
      </c>
      <c r="C270" s="37" t="s">
        <v>457</v>
      </c>
      <c r="D270" s="37" t="str">
        <f>IFERROR(__xludf.DUMMYFUNCTION("GOOGLETRANSLATE(C270,""en"",""fr"")"),"Notes cliniques :")</f>
        <v>Notes cliniques :</v>
      </c>
      <c r="E270" s="37" t="str">
        <f>IFERROR(__xludf.DUMMYFUNCTION("GOOGLETRANSLATE(C270,""en"",""ht"")"),"Nòt klinik:")</f>
        <v>Nòt klinik:</v>
      </c>
      <c r="F270" s="34"/>
      <c r="G270" s="34"/>
      <c r="H270" s="34"/>
      <c r="I270" s="34"/>
      <c r="J270" s="34"/>
      <c r="K270" s="34"/>
      <c r="L270" s="34"/>
      <c r="M270" s="34"/>
      <c r="N270" s="34"/>
      <c r="O270" s="34"/>
      <c r="P270" s="34"/>
      <c r="Q270" s="34"/>
      <c r="R270" s="34"/>
      <c r="S270" s="34"/>
      <c r="T270" s="34"/>
      <c r="U270" s="34"/>
      <c r="V270" s="34"/>
      <c r="W270" s="34"/>
      <c r="X270" s="34"/>
      <c r="Y270" s="34"/>
      <c r="Z270" s="36"/>
      <c r="AA270" s="36"/>
      <c r="AB270" s="36"/>
      <c r="AC270" s="36"/>
      <c r="AD270" s="36"/>
      <c r="AE270" s="36"/>
      <c r="AF270" s="36"/>
      <c r="AG270" s="36"/>
      <c r="AH270" s="36"/>
    </row>
    <row r="271">
      <c r="A271" s="37" t="s">
        <v>82</v>
      </c>
      <c r="B271" s="40" t="s">
        <v>614</v>
      </c>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6"/>
      <c r="AA271" s="36"/>
      <c r="AB271" s="36"/>
      <c r="AC271" s="36"/>
      <c r="AD271" s="36"/>
      <c r="AE271" s="36"/>
      <c r="AF271" s="36"/>
      <c r="AG271" s="36"/>
      <c r="AH271" s="36"/>
    </row>
    <row r="272">
      <c r="A272" s="37" t="s">
        <v>49</v>
      </c>
      <c r="B272" s="40" t="s">
        <v>624</v>
      </c>
      <c r="C272" s="37" t="s">
        <v>195</v>
      </c>
      <c r="D272" s="37" t="s">
        <v>625</v>
      </c>
      <c r="E272" s="37" t="s">
        <v>626</v>
      </c>
      <c r="F272" s="34"/>
      <c r="G272" s="34"/>
      <c r="H272" s="34"/>
      <c r="I272" s="34"/>
      <c r="J272" s="37" t="s">
        <v>196</v>
      </c>
      <c r="K272" s="37" t="s">
        <v>58</v>
      </c>
      <c r="L272" s="34"/>
      <c r="M272" s="34"/>
      <c r="N272" s="34"/>
      <c r="O272" s="34"/>
      <c r="P272" s="34"/>
      <c r="Q272" s="34"/>
      <c r="R272" s="34"/>
      <c r="S272" s="34"/>
      <c r="T272" s="34"/>
      <c r="U272" s="34"/>
      <c r="V272" s="34"/>
      <c r="W272" s="34"/>
      <c r="X272" s="34"/>
      <c r="Y272" s="34"/>
      <c r="Z272" s="36"/>
      <c r="AA272" s="36"/>
      <c r="AB272" s="36"/>
      <c r="AC272" s="36"/>
      <c r="AD272" s="36"/>
      <c r="AE272" s="36"/>
      <c r="AF272" s="36"/>
      <c r="AG272" s="36"/>
      <c r="AH272" s="36"/>
    </row>
    <row r="273">
      <c r="A273" s="37" t="s">
        <v>38</v>
      </c>
      <c r="B273" s="40" t="s">
        <v>627</v>
      </c>
      <c r="C273" s="37" t="s">
        <v>628</v>
      </c>
      <c r="D273" s="37" t="str">
        <f>IFERROR(__xludf.DUMMYFUNCTION("GOOGLETRANSLATE(C273,""en"",""fr"")"),"Le patient présente une hyperglycémie sévère (glucose &gt; 400 mg/dL).")</f>
        <v>Le patient présente une hyperglycémie sévère (glucose &gt; 400 mg/dL).</v>
      </c>
      <c r="E273" s="37" t="str">
        <f>IFERROR(__xludf.DUMMYFUNCTION("GOOGLETRANSLATE(C273,""en"",""ht"")"),"Pasyan an gen ipèglisemi grav (glikoz &gt;400 mg/dL)")</f>
        <v>Pasyan an gen ipèglisemi grav (glikoz &gt;400 mg/dL)</v>
      </c>
      <c r="F273" s="34"/>
      <c r="G273" s="34"/>
      <c r="H273" s="34"/>
      <c r="I273" s="34"/>
      <c r="J273" s="34"/>
      <c r="K273" s="37" t="s">
        <v>197</v>
      </c>
      <c r="L273" s="34"/>
      <c r="M273" s="34"/>
      <c r="N273" s="34"/>
      <c r="O273" s="34"/>
      <c r="P273" s="34"/>
      <c r="Q273" s="34"/>
      <c r="R273" s="34"/>
      <c r="S273" s="34"/>
      <c r="T273" s="34"/>
      <c r="U273" s="34"/>
      <c r="V273" s="34"/>
      <c r="W273" s="34"/>
      <c r="X273" s="34"/>
      <c r="Y273" s="34"/>
      <c r="Z273" s="36"/>
      <c r="AA273" s="36"/>
      <c r="AB273" s="36"/>
      <c r="AC273" s="36"/>
      <c r="AD273" s="36"/>
      <c r="AE273" s="36"/>
      <c r="AF273" s="36"/>
      <c r="AG273" s="36"/>
      <c r="AH273" s="36"/>
    </row>
    <row r="274">
      <c r="A274" s="37" t="s">
        <v>38</v>
      </c>
      <c r="B274" s="40" t="s">
        <v>629</v>
      </c>
      <c r="C274" s="37" t="s">
        <v>630</v>
      </c>
      <c r="D274" s="37" t="str">
        <f>IFERROR(__xludf.DUMMYFUNCTION("GOOGLETRANSLATE(C274,""en"",""fr"")"),"Protocole :
- Consulter immédiatement
")</f>
        <v>Protocole :
- Consulter immédiatement
</v>
      </c>
      <c r="E274" s="37" t="str">
        <f>IFERROR(__xludf.DUMMYFUNCTION("GOOGLETRANSLATE(C274,""en"",""ht"")"),"Pwotokòl:
- Refere imedyatman
")</f>
        <v>Pwotokòl:
- Refere imedyatman
</v>
      </c>
      <c r="F274" s="34"/>
      <c r="G274" s="34"/>
      <c r="H274" s="34"/>
      <c r="I274" s="34"/>
      <c r="J274" s="34"/>
      <c r="K274" s="34"/>
      <c r="L274" s="34"/>
      <c r="M274" s="34"/>
      <c r="N274" s="34"/>
      <c r="O274" s="34"/>
      <c r="P274" s="34"/>
      <c r="Q274" s="34"/>
      <c r="R274" s="34"/>
      <c r="S274" s="34"/>
      <c r="T274" s="34"/>
      <c r="U274" s="34"/>
      <c r="V274" s="34"/>
      <c r="W274" s="34"/>
      <c r="X274" s="34"/>
      <c r="Y274" s="34"/>
      <c r="Z274" s="36"/>
      <c r="AA274" s="36"/>
      <c r="AB274" s="36"/>
      <c r="AC274" s="36"/>
      <c r="AD274" s="36"/>
      <c r="AE274" s="36"/>
      <c r="AF274" s="36"/>
      <c r="AG274" s="36"/>
      <c r="AH274" s="36"/>
    </row>
    <row r="275">
      <c r="A275" s="37" t="s">
        <v>38</v>
      </c>
      <c r="B275" s="40" t="s">
        <v>631</v>
      </c>
      <c r="C275" s="37" t="s">
        <v>444</v>
      </c>
      <c r="D275" s="37" t="str">
        <f>IFERROR(__xludf.DUMMYFUNCTION("GOOGLETRANSLATE(C275,""en"",""fr"")"),"Accompagnement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275" s="37" t="str">
        <f>IFERROR(__xludf.DUMMYFUNCTION("GOOGLETRANSLATE(C275,""en"",""ht"")"),"Konsèy:
- (Konsèy TODO pa bay nan pwotokòl swen yo - ajoute kòm espas vid pou fidbak enfimyè yo)")</f>
        <v>Konsèy:
- (Konsèy TODO pa bay nan pwotokòl swen yo - ajoute kòm espas vid pou fidbak enfimyè yo)</v>
      </c>
      <c r="F275" s="34"/>
      <c r="G275" s="34"/>
      <c r="H275" s="34"/>
      <c r="I275" s="34"/>
      <c r="J275" s="34"/>
      <c r="K275" s="34"/>
      <c r="L275" s="34"/>
      <c r="M275" s="34"/>
      <c r="N275" s="34"/>
      <c r="O275" s="34"/>
      <c r="P275" s="34"/>
      <c r="Q275" s="34"/>
      <c r="R275" s="34"/>
      <c r="S275" s="34"/>
      <c r="T275" s="34"/>
      <c r="U275" s="34"/>
      <c r="V275" s="34"/>
      <c r="W275" s="34"/>
      <c r="X275" s="34"/>
      <c r="Y275" s="34"/>
      <c r="Z275" s="36"/>
      <c r="AA275" s="36"/>
      <c r="AB275" s="36"/>
      <c r="AC275" s="36"/>
      <c r="AD275" s="36"/>
      <c r="AE275" s="36"/>
      <c r="AF275" s="36"/>
      <c r="AG275" s="36"/>
      <c r="AH275" s="36"/>
    </row>
    <row r="276">
      <c r="A276" s="37" t="s">
        <v>451</v>
      </c>
      <c r="B276" s="40" t="s">
        <v>632</v>
      </c>
      <c r="C276" s="37" t="s">
        <v>457</v>
      </c>
      <c r="D276" s="37" t="str">
        <f>IFERROR(__xludf.DUMMYFUNCTION("GOOGLETRANSLATE(C276,""en"",""fr"")"),"Notes cliniques :")</f>
        <v>Notes cliniques :</v>
      </c>
      <c r="E276" s="37" t="str">
        <f>IFERROR(__xludf.DUMMYFUNCTION("GOOGLETRANSLATE(C276,""en"",""ht"")"),"Nòt klinik:")</f>
        <v>Nòt klinik:</v>
      </c>
      <c r="F276" s="34"/>
      <c r="G276" s="34"/>
      <c r="H276" s="34"/>
      <c r="I276" s="34"/>
      <c r="J276" s="34"/>
      <c r="K276" s="34"/>
      <c r="L276" s="34"/>
      <c r="M276" s="34"/>
      <c r="N276" s="34"/>
      <c r="O276" s="34"/>
      <c r="P276" s="34"/>
      <c r="Q276" s="34"/>
      <c r="R276" s="34"/>
      <c r="S276" s="34"/>
      <c r="T276" s="34"/>
      <c r="U276" s="34"/>
      <c r="V276" s="34"/>
      <c r="W276" s="34"/>
      <c r="X276" s="34"/>
      <c r="Y276" s="34"/>
      <c r="Z276" s="36"/>
      <c r="AA276" s="36"/>
      <c r="AB276" s="36"/>
      <c r="AC276" s="36"/>
      <c r="AD276" s="36"/>
      <c r="AE276" s="36"/>
      <c r="AF276" s="36"/>
      <c r="AG276" s="36"/>
      <c r="AH276" s="36"/>
    </row>
    <row r="277">
      <c r="A277" s="37" t="s">
        <v>82</v>
      </c>
      <c r="B277" s="40" t="s">
        <v>624</v>
      </c>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6"/>
      <c r="AA277" s="36"/>
      <c r="AB277" s="36"/>
      <c r="AC277" s="36"/>
      <c r="AD277" s="36"/>
      <c r="AE277" s="36"/>
      <c r="AF277" s="36"/>
      <c r="AG277" s="36"/>
      <c r="AH277" s="36"/>
    </row>
    <row r="278">
      <c r="A278" s="37" t="s">
        <v>49</v>
      </c>
      <c r="B278" s="40" t="s">
        <v>633</v>
      </c>
      <c r="C278" s="37" t="s">
        <v>188</v>
      </c>
      <c r="D278" s="37" t="str">
        <f>IFERROR(__xludf.DUMMYFUNCTION("GOOGLETRANSLATE(C278,""en"",""fr"")"),"Diabète - Hyperglycémie")</f>
        <v>Diabète - Hyperglycémie</v>
      </c>
      <c r="E278" s="37" t="str">
        <f>IFERROR(__xludf.DUMMYFUNCTION("GOOGLETRANSLATE(C278,""en"",""ht"")"),"Dyabèt - Ipèglisemi")</f>
        <v>Dyabèt - Ipèglisemi</v>
      </c>
      <c r="F278" s="34"/>
      <c r="G278" s="34"/>
      <c r="H278" s="34"/>
      <c r="I278" s="34"/>
      <c r="J278" s="37" t="s">
        <v>189</v>
      </c>
      <c r="K278" s="37" t="s">
        <v>58</v>
      </c>
      <c r="L278" s="34"/>
      <c r="M278" s="34"/>
      <c r="N278" s="34"/>
      <c r="O278" s="34"/>
      <c r="P278" s="34"/>
      <c r="Q278" s="34"/>
      <c r="R278" s="34"/>
      <c r="S278" s="34"/>
      <c r="T278" s="34"/>
      <c r="U278" s="34"/>
      <c r="V278" s="34"/>
      <c r="W278" s="34"/>
      <c r="X278" s="34"/>
      <c r="Y278" s="34"/>
      <c r="Z278" s="36"/>
      <c r="AA278" s="36"/>
      <c r="AB278" s="36"/>
      <c r="AC278" s="36"/>
      <c r="AD278" s="36"/>
      <c r="AE278" s="36"/>
      <c r="AF278" s="36"/>
      <c r="AG278" s="36"/>
      <c r="AH278" s="36"/>
    </row>
    <row r="279">
      <c r="A279" s="37" t="s">
        <v>38</v>
      </c>
      <c r="B279" s="40" t="s">
        <v>634</v>
      </c>
      <c r="C279" s="37" t="s">
        <v>635</v>
      </c>
      <c r="D279" s="37" t="str">
        <f>IFERROR(__xludf.DUMMYFUNCTION("GOOGLETRANSLATE(C279,""en"",""fr"")"),"Le patient présente une hyperglycémie modérée (glucose 200-400 mg/dL).")</f>
        <v>Le patient présente une hyperglycémie modérée (glucose 200-400 mg/dL).</v>
      </c>
      <c r="E279" s="37" t="str">
        <f>IFERROR(__xludf.DUMMYFUNCTION("GOOGLETRANSLATE(C279,""en"",""ht"")"),"Pasyan an gen ipèglisemi modere (glikoz 200-400 mg/dL)")</f>
        <v>Pasyan an gen ipèglisemi modere (glikoz 200-400 mg/dL)</v>
      </c>
      <c r="F279" s="34"/>
      <c r="G279" s="34"/>
      <c r="H279" s="34"/>
      <c r="I279" s="34"/>
      <c r="J279" s="34"/>
      <c r="K279" s="37" t="s">
        <v>182</v>
      </c>
      <c r="L279" s="34"/>
      <c r="M279" s="34"/>
      <c r="N279" s="34"/>
      <c r="O279" s="34"/>
      <c r="P279" s="34"/>
      <c r="Q279" s="34"/>
      <c r="R279" s="34"/>
      <c r="S279" s="34"/>
      <c r="T279" s="34"/>
      <c r="U279" s="34"/>
      <c r="V279" s="34"/>
      <c r="W279" s="34"/>
      <c r="X279" s="34"/>
      <c r="Y279" s="34"/>
      <c r="Z279" s="36"/>
      <c r="AA279" s="36"/>
      <c r="AB279" s="36"/>
      <c r="AC279" s="36"/>
      <c r="AD279" s="36"/>
      <c r="AE279" s="36"/>
      <c r="AF279" s="36"/>
      <c r="AG279" s="36"/>
      <c r="AH279" s="36"/>
    </row>
    <row r="280">
      <c r="A280" s="37" t="s">
        <v>38</v>
      </c>
      <c r="B280" s="40" t="s">
        <v>636</v>
      </c>
      <c r="C280" s="37" t="s">
        <v>637</v>
      </c>
      <c r="D280" s="37" t="str">
        <f>IFERROR(__xludf.DUMMYFUNCTION("GOOGLETRANSLATE(C280,""en"",""fr"")"),"Protocole :
- Metformine 500 mg au petit-déjeuner pendant 1 semaine. Contrôler la glycémie 1 à 2 semaines plus tard.
- Répartir 7 comprimés de metformine 500 mg.")</f>
        <v>Protocole :
- Metformine 500 mg au petit-déjeuner pendant 1 semaine. Contrôler la glycémie 1 à 2 semaines plus tard.
- Répartir 7 comprimés de metformine 500 mg.</v>
      </c>
      <c r="E280" s="37" t="str">
        <f>IFERROR(__xludf.DUMMYFUNCTION("GOOGLETRANSLATE(C280,""en"",""ht"")"),"Pwotokòl:
- Metformin 500mg ak dejene pandan 1 semèn. Repete mezi glikoz nan san an nan 1-2 semèn.
- Distribye 7 Metformin 500mg")</f>
        <v>Pwotokòl:
- Metformin 500mg ak dejene pandan 1 semèn. Repete mezi glikoz nan san an nan 1-2 semèn.
- Distribye 7 Metformin 500mg</v>
      </c>
      <c r="F280" s="34"/>
      <c r="G280" s="34"/>
      <c r="H280" s="34"/>
      <c r="I280" s="34"/>
      <c r="J280" s="47" t="s">
        <v>638</v>
      </c>
      <c r="K280" s="34"/>
      <c r="L280" s="34"/>
      <c r="M280" s="34"/>
      <c r="N280" s="34"/>
      <c r="O280" s="34"/>
      <c r="P280" s="34"/>
      <c r="Q280" s="34"/>
      <c r="R280" s="34"/>
      <c r="S280" s="34"/>
      <c r="T280" s="34"/>
      <c r="U280" s="34"/>
      <c r="V280" s="34"/>
      <c r="W280" s="34"/>
      <c r="X280" s="34"/>
      <c r="Y280" s="34"/>
      <c r="Z280" s="36"/>
      <c r="AA280" s="36"/>
      <c r="AB280" s="36"/>
      <c r="AC280" s="36"/>
      <c r="AD280" s="36"/>
      <c r="AE280" s="36"/>
      <c r="AF280" s="36"/>
      <c r="AG280" s="36"/>
      <c r="AH280" s="36"/>
    </row>
    <row r="281">
      <c r="A281" s="37" t="s">
        <v>639</v>
      </c>
      <c r="B281" s="40" t="s">
        <v>640</v>
      </c>
      <c r="C281" s="37" t="s">
        <v>641</v>
      </c>
      <c r="D281" s="37" t="str">
        <f>IFERROR(__xludf.DUMMYFUNCTION("GOOGLETRANSLATE(C281,""en"",""fr"")"),"Le patient prend actuellement ${_metformin_dosage}. Si le traitement est bien toléré, il pourra commencer à prendre 500 mg deux fois par jour, au moment des repas. Administrerez-vous 500 mg de metformine au patient ?")</f>
        <v>Le patient prend actuellement ${_metformin_dosage}. Si le traitement est bien toléré, il pourra commencer à prendre 500 mg deux fois par jour, au moment des repas. Administrerez-vous 500 mg de metformine au patient ?</v>
      </c>
      <c r="E281" s="37" t="str">
        <f>IFERROR(__xludf.DUMMYFUNCTION("GOOGLETRANSLATE(C281,""en"",""ht"")"),"Kounye a, pasyan an ap pran ${_metformin_dosage}. Si li byen tolere, pasyan an ka kòmanse pran 500mg de fwa pa jou avèk repa. Èske w ap bay pasyan an Metforming 500mg?")</f>
        <v>Kounye a, pasyan an ap pran ${_metformin_dosage}. Si li byen tolere, pasyan an ka kòmanse pran 500mg de fwa pa jou avèk repa. Èske w ap bay pasyan an Metforming 500mg?</v>
      </c>
      <c r="F281" s="34"/>
      <c r="G281" s="34"/>
      <c r="H281" s="34"/>
      <c r="I281" s="37" t="s">
        <v>68</v>
      </c>
      <c r="J281" s="47" t="s">
        <v>642</v>
      </c>
      <c r="K281" s="34"/>
      <c r="L281" s="34"/>
      <c r="M281" s="34"/>
      <c r="N281" s="34"/>
      <c r="O281" s="34"/>
      <c r="P281" s="34"/>
      <c r="Q281" s="34"/>
      <c r="R281" s="34"/>
      <c r="S281" s="34"/>
      <c r="T281" s="34"/>
      <c r="U281" s="34"/>
      <c r="V281" s="34"/>
      <c r="W281" s="34"/>
      <c r="X281" s="34"/>
      <c r="Y281" s="34"/>
      <c r="Z281" s="36"/>
      <c r="AA281" s="36"/>
      <c r="AB281" s="36"/>
      <c r="AC281" s="36"/>
      <c r="AD281" s="36"/>
      <c r="AE281" s="36"/>
      <c r="AF281" s="36"/>
      <c r="AG281" s="36"/>
      <c r="AH281" s="36"/>
    </row>
    <row r="282">
      <c r="A282" s="37" t="s">
        <v>38</v>
      </c>
      <c r="B282" s="40" t="s">
        <v>643</v>
      </c>
      <c r="C282" s="37" t="s">
        <v>644</v>
      </c>
      <c r="D282" s="37" t="str">
        <f>IFERROR(__xludf.DUMMYFUNCTION("GOOGLETRANSLATE(C282,""en"",""fr"")"),"Protocole :
- Distribuer 60 comprimés de metformine 500 mg à prendre deux fois par jour, au moment des repas.")</f>
        <v>Protocole :
- Distribuer 60 comprimés de metformine 500 mg à prendre deux fois par jour, au moment des repas.</v>
      </c>
      <c r="E282" s="37" t="str">
        <f>IFERROR(__xludf.DUMMYFUNCTION("GOOGLETRANSLATE(C282,""en"",""ht"")"),"Pwotokòl:
- Distribye 60 Metformin 500mg pou pran de fwa pa jou avèk repa yo.")</f>
        <v>Pwotokòl:
- Distribye 60 Metformin 500mg pou pran de fwa pa jou avèk repa yo.</v>
      </c>
      <c r="F282" s="34"/>
      <c r="G282" s="34"/>
      <c r="H282" s="34"/>
      <c r="I282" s="37"/>
      <c r="J282" s="47" t="s">
        <v>645</v>
      </c>
      <c r="K282" s="34"/>
      <c r="L282" s="34"/>
      <c r="M282" s="34"/>
      <c r="N282" s="34"/>
      <c r="O282" s="34"/>
      <c r="P282" s="34"/>
      <c r="Q282" s="34"/>
      <c r="R282" s="34"/>
      <c r="S282" s="34"/>
      <c r="T282" s="34"/>
      <c r="U282" s="34"/>
      <c r="V282" s="34"/>
      <c r="W282" s="34"/>
      <c r="X282" s="34"/>
      <c r="Y282" s="34"/>
      <c r="Z282" s="36"/>
      <c r="AA282" s="36"/>
      <c r="AB282" s="36"/>
      <c r="AC282" s="36"/>
      <c r="AD282" s="36"/>
      <c r="AE282" s="36"/>
      <c r="AF282" s="36"/>
      <c r="AG282" s="36"/>
      <c r="AH282" s="36"/>
    </row>
    <row r="283">
      <c r="A283" s="37" t="s">
        <v>38</v>
      </c>
      <c r="B283" s="40" t="s">
        <v>646</v>
      </c>
      <c r="C283" s="37" t="s">
        <v>647</v>
      </c>
      <c r="D283" s="37"/>
      <c r="E283" s="37"/>
      <c r="F283" s="34"/>
      <c r="G283" s="34"/>
      <c r="H283" s="34"/>
      <c r="I283" s="37"/>
      <c r="J283" s="47" t="s">
        <v>648</v>
      </c>
      <c r="K283" s="34"/>
      <c r="L283" s="34"/>
      <c r="M283" s="34"/>
      <c r="N283" s="34"/>
      <c r="O283" s="34"/>
      <c r="P283" s="34"/>
      <c r="Q283" s="34"/>
      <c r="R283" s="34"/>
      <c r="S283" s="34"/>
      <c r="T283" s="34"/>
      <c r="U283" s="34"/>
      <c r="V283" s="34"/>
      <c r="W283" s="34"/>
      <c r="X283" s="34"/>
      <c r="Y283" s="34"/>
      <c r="Z283" s="36"/>
      <c r="AA283" s="36"/>
      <c r="AB283" s="36"/>
      <c r="AC283" s="36"/>
      <c r="AD283" s="36"/>
      <c r="AE283" s="36"/>
      <c r="AF283" s="36"/>
      <c r="AG283" s="36"/>
      <c r="AH283" s="36"/>
    </row>
    <row r="284">
      <c r="A284" s="37" t="s">
        <v>639</v>
      </c>
      <c r="B284" s="40" t="s">
        <v>649</v>
      </c>
      <c r="C284" s="37" t="s">
        <v>650</v>
      </c>
      <c r="D284" s="37" t="str">
        <f>IFERROR(__xludf.DUMMYFUNCTION("GOOGLETRANSLATE(C284,""en"",""fr"")"),"Le patient prend actuellement ${_metformin_dosage}. Si le contrôle glycémique est insuffisant, il est conseillé d'augmenter la posologie de 500 mg/jour en fonction de la tolérance. Souhaitez-vous augmenter sa posologie ?")</f>
        <v>Le patient prend actuellement ${_metformin_dosage}. Si le contrôle glycémique est insuffisant, il est conseillé d'augmenter la posologie de 500 mg/jour en fonction de la tolérance. Souhaitez-vous augmenter sa posologie ?</v>
      </c>
      <c r="E284" s="37" t="str">
        <f>IFERROR(__xludf.DUMMYFUNCTION("GOOGLETRANSLATE(C284,""en"",""ht"")"),"Pasyan an ap pran ${_metformin_dosage} kounye a. Si kontwòl glisemi a pa ase, li rekòmande pou ogmante dòz la pa 500mg/jou jan li tolere. Èske ou ta renmen ogmante dòz li a?")</f>
        <v>Pasyan an ap pran ${_metformin_dosage} kounye a. Si kontwòl glisemi a pa ase, li rekòmande pou ogmante dòz la pa 500mg/jou jan li tolere. Èske ou ta renmen ogmante dòz li a?</v>
      </c>
      <c r="F284" s="34"/>
      <c r="G284" s="34"/>
      <c r="H284" s="34"/>
      <c r="I284" s="37" t="s">
        <v>68</v>
      </c>
      <c r="J284" s="37" t="s">
        <v>651</v>
      </c>
      <c r="K284" s="34"/>
      <c r="L284" s="34"/>
      <c r="M284" s="34"/>
      <c r="N284" s="34"/>
      <c r="O284" s="34"/>
      <c r="P284" s="34"/>
      <c r="Q284" s="34"/>
      <c r="R284" s="34"/>
      <c r="S284" s="34"/>
      <c r="T284" s="34"/>
      <c r="U284" s="34"/>
      <c r="V284" s="34"/>
      <c r="W284" s="34"/>
      <c r="X284" s="34"/>
      <c r="Y284" s="34"/>
      <c r="Z284" s="36"/>
      <c r="AA284" s="36"/>
      <c r="AB284" s="36"/>
      <c r="AC284" s="36"/>
      <c r="AD284" s="36"/>
      <c r="AE284" s="36"/>
      <c r="AF284" s="36"/>
      <c r="AG284" s="36"/>
      <c r="AH284" s="36"/>
    </row>
    <row r="285">
      <c r="A285" s="37" t="s">
        <v>38</v>
      </c>
      <c r="B285" s="40" t="s">
        <v>652</v>
      </c>
      <c r="C285" s="37" t="s">
        <v>653</v>
      </c>
      <c r="D285" s="37" t="str">
        <f>IFERROR(__xludf.DUMMYFUNCTION("GOOGLETRANSLATE(C285,""en"",""fr"")"),"Protocole :
- Distribuer 90 comprimés de metformine 500 mg, à prendre à raison de 750 mg deux fois par jour, au moment des repas.")</f>
        <v>Protocole :
- Distribuer 90 comprimés de metformine 500 mg, à prendre à raison de 750 mg deux fois par jour, au moment des repas.</v>
      </c>
      <c r="E285" s="37" t="str">
        <f>IFERROR(__xludf.DUMMYFUNCTION("GOOGLETRANSLATE(C285,""en"",""ht"")"),"Pwotokòl:
- Distribye 90 Metformin 500mg pou pran 750mg de fwa pa jou avèk repa yo.")</f>
        <v>Pwotokòl:
- Distribye 90 Metformin 500mg pou pran 750mg de fwa pa jou avèk repa yo.</v>
      </c>
      <c r="F285" s="34"/>
      <c r="G285" s="34"/>
      <c r="H285" s="34"/>
      <c r="I285" s="37"/>
      <c r="J285" s="37" t="s">
        <v>654</v>
      </c>
      <c r="K285" s="34"/>
      <c r="L285" s="34"/>
      <c r="M285" s="34"/>
      <c r="N285" s="34"/>
      <c r="O285" s="34"/>
      <c r="P285" s="34"/>
      <c r="Q285" s="34"/>
      <c r="R285" s="34"/>
      <c r="S285" s="34"/>
      <c r="T285" s="34"/>
      <c r="U285" s="34"/>
      <c r="V285" s="34"/>
      <c r="W285" s="34"/>
      <c r="X285" s="34"/>
      <c r="Y285" s="34"/>
      <c r="Z285" s="36"/>
      <c r="AA285" s="36"/>
      <c r="AB285" s="36"/>
      <c r="AC285" s="36"/>
      <c r="AD285" s="36"/>
      <c r="AE285" s="36"/>
      <c r="AF285" s="36"/>
      <c r="AG285" s="36"/>
      <c r="AH285" s="36"/>
    </row>
    <row r="286">
      <c r="A286" s="37" t="s">
        <v>38</v>
      </c>
      <c r="B286" s="40" t="s">
        <v>655</v>
      </c>
      <c r="C286" s="37" t="s">
        <v>644</v>
      </c>
      <c r="D286" s="37" t="str">
        <f>IFERROR(__xludf.DUMMYFUNCTION("GOOGLETRANSLATE(C286,""en"",""fr"")"),"Protocole :
- Distribuer 60 comprimés de metformine 500 mg à prendre deux fois par jour, au moment des repas.")</f>
        <v>Protocole :
- Distribuer 60 comprimés de metformine 500 mg à prendre deux fois par jour, au moment des repas.</v>
      </c>
      <c r="E286" s="37" t="str">
        <f>IFERROR(__xludf.DUMMYFUNCTION("GOOGLETRANSLATE(C286,""en"",""ht"")"),"Pwotokòl:
- Distribye 60 Metformin 500mg pou pran de fwa pa jou avèk repa yo.")</f>
        <v>Pwotokòl:
- Distribye 60 Metformin 500mg pou pran de fwa pa jou avèk repa yo.</v>
      </c>
      <c r="F286" s="34"/>
      <c r="G286" s="34"/>
      <c r="H286" s="34"/>
      <c r="I286" s="37"/>
      <c r="J286" s="37" t="s">
        <v>656</v>
      </c>
      <c r="K286" s="34"/>
      <c r="L286" s="34"/>
      <c r="M286" s="34"/>
      <c r="N286" s="34"/>
      <c r="O286" s="34"/>
      <c r="P286" s="34"/>
      <c r="Q286" s="34"/>
      <c r="R286" s="34"/>
      <c r="S286" s="34"/>
      <c r="T286" s="34"/>
      <c r="U286" s="34"/>
      <c r="V286" s="34"/>
      <c r="W286" s="34"/>
      <c r="X286" s="34"/>
      <c r="Y286" s="34"/>
      <c r="Z286" s="36"/>
      <c r="AA286" s="36"/>
      <c r="AB286" s="36"/>
      <c r="AC286" s="36"/>
      <c r="AD286" s="36"/>
      <c r="AE286" s="36"/>
      <c r="AF286" s="36"/>
      <c r="AG286" s="36"/>
      <c r="AH286" s="36"/>
    </row>
    <row r="287">
      <c r="A287" s="37" t="s">
        <v>639</v>
      </c>
      <c r="B287" s="40" t="s">
        <v>657</v>
      </c>
      <c r="C287" s="37" t="s">
        <v>658</v>
      </c>
      <c r="D287" s="37" t="str">
        <f>IFERROR(__xludf.DUMMYFUNCTION("GOOGLETRANSLATE(C287,""en"",""fr"")"),"Le patient prend actuellement ${_metformin_dosage}. Les résultats d'aujourd'hui indiquent que le contrôle glycémique reste insuffisant ; il est conseillé d'augmenter la posologie de 500 mg/jour, selon la tolérance. Souhaitez-vous augmenter sa posologie ?")</f>
        <v>Le patient prend actuellement ${_metformin_dosage}. Les résultats d'aujourd'hui indiquent que le contrôle glycémique reste insuffisant ; il est conseillé d'augmenter la posologie de 500 mg/jour, selon la tolérance. Souhaitez-vous augmenter sa posologie ?</v>
      </c>
      <c r="E287" s="37" t="str">
        <f>IFERROR(__xludf.DUMMYFUNCTION("GOOGLETRANSLATE(C287,""en"",""ht"")"),"Pasyan an ap pran ${_metformin_dosage} kounye a. Rezilta jodi a yo endike kontwòl glisemi a rete ensifizan, yo konseye pou ogmante dòz la pa 500mg/jou jan yo tolere l. Èske ou ta renmen ogmante dòz yo a?")</f>
        <v>Pasyan an ap pran ${_metformin_dosage} kounye a. Rezilta jodi a yo endike kontwòl glisemi a rete ensifizan, yo konseye pou ogmante dòz la pa 500mg/jou jan yo tolere l. Èske ou ta renmen ogmante dòz yo a?</v>
      </c>
      <c r="F287" s="34"/>
      <c r="G287" s="34"/>
      <c r="H287" s="34"/>
      <c r="I287" s="37" t="s">
        <v>68</v>
      </c>
      <c r="J287" s="37" t="s">
        <v>659</v>
      </c>
      <c r="K287" s="34"/>
      <c r="L287" s="34"/>
      <c r="M287" s="34"/>
      <c r="N287" s="34"/>
      <c r="O287" s="34"/>
      <c r="P287" s="34"/>
      <c r="Q287" s="34"/>
      <c r="R287" s="34"/>
      <c r="S287" s="34"/>
      <c r="T287" s="34"/>
      <c r="U287" s="34"/>
      <c r="V287" s="34"/>
      <c r="W287" s="34"/>
      <c r="X287" s="34"/>
      <c r="Y287" s="34"/>
      <c r="Z287" s="36"/>
      <c r="AA287" s="36"/>
      <c r="AB287" s="36"/>
      <c r="AC287" s="36"/>
      <c r="AD287" s="36"/>
      <c r="AE287" s="36"/>
      <c r="AF287" s="36"/>
      <c r="AG287" s="36"/>
      <c r="AH287" s="36"/>
    </row>
    <row r="288">
      <c r="A288" s="37" t="s">
        <v>38</v>
      </c>
      <c r="B288" s="40" t="s">
        <v>660</v>
      </c>
      <c r="C288" s="37" t="s">
        <v>661</v>
      </c>
      <c r="D288" s="37" t="str">
        <f>IFERROR(__xludf.DUMMYFUNCTION("GOOGLETRANSLATE(C288,""en"",""fr"")"),"Protocole :
- Distribuer 120 comprimés de metformine à 500 mg, à prendre à raison de 1 000 mg deux fois par jour, au moment des repas.")</f>
        <v>Protocole :
- Distribuer 120 comprimés de metformine à 500 mg, à prendre à raison de 1 000 mg deux fois par jour, au moment des repas.</v>
      </c>
      <c r="E288" s="37" t="str">
        <f>IFERROR(__xludf.DUMMYFUNCTION("GOOGLETRANSLATE(C288,""en"",""ht"")"),"Pwotokòl:
- Distribye 120 Metformin 500mg pou pran 1000mg de fwa pa jou avèk repa yo.")</f>
        <v>Pwotokòl:
- Distribye 120 Metformin 500mg pou pran 1000mg de fwa pa jou avèk repa yo.</v>
      </c>
      <c r="F288" s="34"/>
      <c r="G288" s="34"/>
      <c r="H288" s="34"/>
      <c r="I288" s="37"/>
      <c r="J288" s="37" t="s">
        <v>662</v>
      </c>
      <c r="K288" s="34"/>
      <c r="L288" s="34"/>
      <c r="M288" s="34"/>
      <c r="N288" s="34"/>
      <c r="O288" s="34"/>
      <c r="P288" s="34"/>
      <c r="Q288" s="34"/>
      <c r="R288" s="34"/>
      <c r="S288" s="34"/>
      <c r="T288" s="34"/>
      <c r="U288" s="34"/>
      <c r="V288" s="34"/>
      <c r="W288" s="34"/>
      <c r="X288" s="34"/>
      <c r="Y288" s="34"/>
      <c r="Z288" s="36"/>
      <c r="AA288" s="36"/>
      <c r="AB288" s="36"/>
      <c r="AC288" s="36"/>
      <c r="AD288" s="36"/>
      <c r="AE288" s="36"/>
      <c r="AF288" s="36"/>
      <c r="AG288" s="36"/>
      <c r="AH288" s="36"/>
    </row>
    <row r="289">
      <c r="A289" s="37" t="s">
        <v>38</v>
      </c>
      <c r="B289" s="40" t="s">
        <v>663</v>
      </c>
      <c r="C289" s="37" t="s">
        <v>653</v>
      </c>
      <c r="D289" s="37" t="str">
        <f>IFERROR(__xludf.DUMMYFUNCTION("GOOGLETRANSLATE(C289,""en"",""fr"")"),"Protocole :
- Distribuer 90 comprimés de metformine 500 mg, à prendre à raison de 750 mg deux fois par jour, au moment des repas.")</f>
        <v>Protocole :
- Distribuer 90 comprimés de metformine 500 mg, à prendre à raison de 750 mg deux fois par jour, au moment des repas.</v>
      </c>
      <c r="E289" s="37" t="str">
        <f>IFERROR(__xludf.DUMMYFUNCTION("GOOGLETRANSLATE(C289,""en"",""ht"")"),"Pwotokòl:
- Distribye 90 Metformin 500mg pou pran 750mg de fwa pa jou avèk repa yo.")</f>
        <v>Pwotokòl:
- Distribye 90 Metformin 500mg pou pran 750mg de fwa pa jou avèk repa yo.</v>
      </c>
      <c r="F289" s="34"/>
      <c r="G289" s="34"/>
      <c r="H289" s="34"/>
      <c r="I289" s="37"/>
      <c r="J289" s="37" t="s">
        <v>664</v>
      </c>
      <c r="K289" s="34"/>
      <c r="L289" s="34"/>
      <c r="M289" s="34"/>
      <c r="N289" s="34"/>
      <c r="O289" s="34"/>
      <c r="P289" s="34"/>
      <c r="Q289" s="34"/>
      <c r="R289" s="34"/>
      <c r="S289" s="34"/>
      <c r="T289" s="34"/>
      <c r="U289" s="34"/>
      <c r="V289" s="34"/>
      <c r="W289" s="34"/>
      <c r="X289" s="34"/>
      <c r="Y289" s="34"/>
      <c r="Z289" s="36"/>
      <c r="AA289" s="36"/>
      <c r="AB289" s="36"/>
      <c r="AC289" s="36"/>
      <c r="AD289" s="36"/>
      <c r="AE289" s="36"/>
      <c r="AF289" s="36"/>
      <c r="AG289" s="36"/>
      <c r="AH289" s="36"/>
    </row>
    <row r="290">
      <c r="A290" s="37" t="s">
        <v>38</v>
      </c>
      <c r="B290" s="40" t="s">
        <v>665</v>
      </c>
      <c r="C290" s="37" t="s">
        <v>666</v>
      </c>
      <c r="D290" s="37" t="str">
        <f>IFERROR(__xludf.DUMMYFUNCTION("GOOGLETRANSLATE(C290,""en"",""fr"")"),"Le patient prend actuellement ${_metformin_dosage}. Il s'agit de la dose maximale.
Protocole :
- Distribuer 120 comprimés de metformine 500 mg")</f>
        <v>Le patient prend actuellement ${_metformin_dosage}. Il s'agit de la dose maximale.
Protocole :
- Distribuer 120 comprimés de metformine 500 mg</v>
      </c>
      <c r="E290" s="37" t="str">
        <f>IFERROR(__xludf.DUMMYFUNCTION("GOOGLETRANSLATE(C290,""en"",""ht"")"),"Pasyan an ap pran ${_metformin_dosage} kounye a. Sa a se dòz maksimòm nan.
Pwotokòl:
- Distribye 120 Metformin 500mg")</f>
        <v>Pasyan an ap pran ${_metformin_dosage} kounye a. Sa a se dòz maksimòm nan.
Pwotokòl:
- Distribye 120 Metformin 500mg</v>
      </c>
      <c r="F290" s="34"/>
      <c r="G290" s="34"/>
      <c r="H290" s="34"/>
      <c r="I290" s="37"/>
      <c r="J290" s="37" t="s">
        <v>667</v>
      </c>
      <c r="K290" s="34"/>
      <c r="L290" s="34"/>
      <c r="M290" s="34"/>
      <c r="N290" s="34"/>
      <c r="O290" s="34"/>
      <c r="P290" s="34"/>
      <c r="Q290" s="34"/>
      <c r="R290" s="34"/>
      <c r="S290" s="34"/>
      <c r="T290" s="34"/>
      <c r="U290" s="34"/>
      <c r="V290" s="34"/>
      <c r="W290" s="34"/>
      <c r="X290" s="34"/>
      <c r="Y290" s="34"/>
      <c r="Z290" s="36"/>
      <c r="AA290" s="36"/>
      <c r="AB290" s="36"/>
      <c r="AC290" s="36"/>
      <c r="AD290" s="36"/>
      <c r="AE290" s="36"/>
      <c r="AF290" s="36"/>
      <c r="AG290" s="36"/>
      <c r="AH290" s="36"/>
    </row>
    <row r="291">
      <c r="A291" s="37" t="s">
        <v>38</v>
      </c>
      <c r="B291" s="40" t="s">
        <v>668</v>
      </c>
      <c r="C291" s="37" t="s">
        <v>669</v>
      </c>
      <c r="D291" s="37" t="str">
        <f>IFERROR(__xludf.DUMMYFUNCTION("GOOGLETRANSLATE(C291,""en"",""fr"")"),"Conseils :
- Prenez des repas réguliers et évitez de sauter des repas.
- Réduisez votre consommation d’aliments et de boissons contenant du sucre ajouté, notamment les sodas, les jus sucrés, les bonbons, les gâteaux et les pâtisseries.
- Limitez les po"&amp;"rtions importantes de riz, de pain, de pâtes et autres féculents raffinés.
- Privilégiez les céréales complètes, les légumineuses, les légumes et les fruits frais.
- Intégrez des protéines maigres (légumineuses, poisson, œufs, volaille) à vos repas.
- "&amp;"Évitez les aliments frits et gras en excès.
- Conseillez au patient de revenir pour un test de glycémie dans 1 à 2 semaines. Précisez-lui de ne pas manger avant ce rendez-vous.")</f>
        <v>Conseils :
- Prenez des repas réguliers et évitez de sauter des repas.
- Réduisez votre consommation d’aliments et de boissons contenant du sucre ajouté, notamment les sodas, les jus sucrés, les bonbons, les gâteaux et les pâtisseries.
- Limitez les portions importantes de riz, de pain, de pâtes et autres féculents raffinés.
- Privilégiez les céréales complètes, les légumineuses, les légumes et les fruits frais.
- Intégrez des protéines maigres (légumineuses, poisson, œufs, volaille) à vos repas.
- Évitez les aliments frits et gras en excès.
- Conseillez au patient de revenir pour un test de glycémie dans 1 à 2 semaines. Précisez-lui de ne pas manger avant ce rendez-vous.</v>
      </c>
      <c r="E291" s="37" t="str">
        <f>IFERROR(__xludf.DUMMYFUNCTION("GOOGLETRANSLATE(C291,""en"",""ht"")"),"Konsèy:
- Manje repa regilyèman epi evite sote repa
- Diminye manje ak bwason ki gen sik ajoute, tankou bwason gazez, ji sikre, sirèt, gato, ak patisri
- Limite gwo pòsyon diri, pen, pasta, ak lòt lanmidon rafine
- Chwazi grenn antye, pwa, legim, ak fwi f"&amp;"re
- Mete pwoteyin mèg (pwa, pwason, ze, bèt volay) nan repa yo
- Evite manje ki fri ak gra twòp
- Konseye pasyan an pou l retounen pou yon tès glikoz nan san nan 1-2 semèn. Enfòme pasyan an pou l pa manje anvan l vini.")</f>
        <v>Konsèy:
- Manje repa regilyèman epi evite sote repa
- Diminye manje ak bwason ki gen sik ajoute, tankou bwason gazez, ji sikre, sirèt, gato, ak patisri
- Limite gwo pòsyon diri, pen, pasta, ak lòt lanmidon rafine
- Chwazi grenn antye, pwa, legim, ak fwi fre
- Mete pwoteyin mèg (pwa, pwason, ze, bèt volay) nan repa yo
- Evite manje ki fri ak gra twòp
- Konseye pasyan an pou l retounen pou yon tès glikoz nan san nan 1-2 semèn. Enfòme pasyan an pou l pa manje anvan l vini.</v>
      </c>
      <c r="F291" s="34"/>
      <c r="G291" s="34"/>
      <c r="H291" s="34"/>
      <c r="I291" s="34"/>
      <c r="J291" s="34"/>
      <c r="K291" s="34"/>
      <c r="L291" s="34"/>
      <c r="M291" s="34"/>
      <c r="N291" s="34"/>
      <c r="O291" s="34"/>
      <c r="P291" s="34"/>
      <c r="Q291" s="34"/>
      <c r="R291" s="34"/>
      <c r="S291" s="34"/>
      <c r="T291" s="34"/>
      <c r="U291" s="34"/>
      <c r="V291" s="34"/>
      <c r="W291" s="34"/>
      <c r="X291" s="34"/>
      <c r="Y291" s="34"/>
      <c r="Z291" s="36"/>
      <c r="AA291" s="36"/>
      <c r="AB291" s="36"/>
      <c r="AC291" s="36"/>
      <c r="AD291" s="36"/>
      <c r="AE291" s="36"/>
      <c r="AF291" s="36"/>
      <c r="AG291" s="36"/>
      <c r="AH291" s="36"/>
    </row>
    <row r="292">
      <c r="A292" s="37" t="s">
        <v>102</v>
      </c>
      <c r="B292" s="40" t="s">
        <v>670</v>
      </c>
      <c r="C292" s="37" t="s">
        <v>54</v>
      </c>
      <c r="D292" s="37" t="s">
        <v>54</v>
      </c>
      <c r="E292" s="37" t="s">
        <v>54</v>
      </c>
      <c r="F292" s="34"/>
      <c r="G292" s="34"/>
      <c r="H292" s="34"/>
      <c r="I292" s="34"/>
      <c r="J292" s="34"/>
      <c r="K292" s="34"/>
      <c r="L292" s="34"/>
      <c r="M292" s="34"/>
      <c r="N292" s="34"/>
      <c r="O292" s="34"/>
      <c r="P292" s="34"/>
      <c r="Q292" s="37" t="s">
        <v>671</v>
      </c>
      <c r="R292" s="34"/>
      <c r="S292" s="34"/>
      <c r="T292" s="34"/>
      <c r="U292" s="34"/>
      <c r="V292" s="34"/>
      <c r="W292" s="34"/>
      <c r="X292" s="34"/>
      <c r="Y292" s="34"/>
      <c r="Z292" s="36"/>
      <c r="AA292" s="36"/>
      <c r="AB292" s="36"/>
      <c r="AC292" s="36"/>
      <c r="AD292" s="36"/>
      <c r="AE292" s="36"/>
      <c r="AF292" s="36"/>
      <c r="AG292" s="36"/>
      <c r="AH292" s="36"/>
    </row>
    <row r="293">
      <c r="A293" s="37" t="s">
        <v>445</v>
      </c>
      <c r="B293" s="40" t="s">
        <v>672</v>
      </c>
      <c r="C293" s="37" t="s">
        <v>673</v>
      </c>
      <c r="D293" s="37" t="str">
        <f>IFERROR(__xludf.DUMMYFUNCTION("GOOGLETRANSLATE(C293,""en"",""fr"")"),"Avez-vous distribué ${metformin_to_distribute} Metformin 500mg ?")</f>
        <v>Avez-vous distribué ${metformin_to_distribute} Metformin 500mg ?</v>
      </c>
      <c r="E293" s="37" t="str">
        <f>IFERROR(__xludf.DUMMYFUNCTION("GOOGLETRANSLATE(C293,""en"",""ht"")"),"Èske ou te distribye ${metformin_to_distribute} Metformin 500mg?")</f>
        <v>Èske ou te distribye ${metformin_to_distribute} Metformin 500mg?</v>
      </c>
      <c r="F293" s="34"/>
      <c r="G293" s="34"/>
      <c r="H293" s="34"/>
      <c r="I293" s="34"/>
      <c r="J293" s="34"/>
      <c r="K293" s="34"/>
      <c r="L293" s="34"/>
      <c r="M293" s="34"/>
      <c r="N293" s="34"/>
      <c r="O293" s="34"/>
      <c r="P293" s="34"/>
      <c r="Q293" s="34"/>
      <c r="R293" s="34"/>
      <c r="S293" s="34"/>
      <c r="T293" s="34"/>
      <c r="U293" s="34"/>
      <c r="V293" s="34"/>
      <c r="W293" s="34"/>
      <c r="X293" s="34"/>
      <c r="Y293" s="34"/>
      <c r="Z293" s="36"/>
      <c r="AA293" s="36"/>
      <c r="AB293" s="36"/>
      <c r="AC293" s="36"/>
      <c r="AD293" s="36"/>
      <c r="AE293" s="36"/>
      <c r="AF293" s="36"/>
      <c r="AG293" s="36"/>
      <c r="AH293" s="36"/>
    </row>
    <row r="294">
      <c r="A294" s="37" t="s">
        <v>102</v>
      </c>
      <c r="B294" s="40" t="s">
        <v>674</v>
      </c>
      <c r="C294" s="37" t="s">
        <v>54</v>
      </c>
      <c r="D294" s="37" t="s">
        <v>54</v>
      </c>
      <c r="E294" s="37" t="s">
        <v>54</v>
      </c>
      <c r="F294" s="34"/>
      <c r="G294" s="34"/>
      <c r="H294" s="34"/>
      <c r="I294" s="34"/>
      <c r="J294" s="34"/>
      <c r="K294" s="34"/>
      <c r="L294" s="34"/>
      <c r="M294" s="34"/>
      <c r="N294" s="34"/>
      <c r="O294" s="34"/>
      <c r="P294" s="37"/>
      <c r="Q294" s="37" t="s">
        <v>675</v>
      </c>
      <c r="R294" s="34"/>
      <c r="S294" s="34"/>
      <c r="T294" s="34"/>
      <c r="U294" s="34"/>
      <c r="V294" s="34"/>
      <c r="W294" s="34"/>
      <c r="X294" s="34"/>
      <c r="Y294" s="34"/>
      <c r="Z294" s="36"/>
      <c r="AA294" s="36"/>
      <c r="AB294" s="36"/>
      <c r="AC294" s="36"/>
      <c r="AD294" s="36"/>
      <c r="AE294" s="36"/>
      <c r="AF294" s="36"/>
      <c r="AG294" s="36"/>
      <c r="AH294" s="36"/>
    </row>
    <row r="295">
      <c r="A295" s="37" t="s">
        <v>451</v>
      </c>
      <c r="B295" s="40" t="s">
        <v>676</v>
      </c>
      <c r="C295" s="37" t="s">
        <v>453</v>
      </c>
      <c r="D295" s="37" t="str">
        <f>IFERROR(__xludf.DUMMYFUNCTION("GOOGLETRANSLATE(C295,""en"",""fr"")"),"Vous avez laissé au moins une confirmation de médicament vide. Si cela est intentionnel, veuillez indiquer pourquoi ci-dessous.")</f>
        <v>Vous avez laissé au moins une confirmation de médicament vide. Si cela est intentionnel, veuillez indiquer pourquoi ci-dessous.</v>
      </c>
      <c r="E295" s="37" t="str">
        <f>IFERROR(__xludf.DUMMYFUNCTION("GOOGLETRANSLATE(C295,""en"",""ht"")"),"Ou kite omwen yon konfimasyon medikaman vid. Si se espre, ekri poukisa anba a.")</f>
        <v>Ou kite omwen yon konfimasyon medikaman vid. Si se espre, ekri poukisa anba a.</v>
      </c>
      <c r="F295" s="37" t="s">
        <v>454</v>
      </c>
      <c r="G295" s="37" t="str">
        <f>IFERROR(__xludf.DUMMYFUNCTION("GOOGLETRANSLATE(F295,""en"",""fr"")"),"Si vous avez distribué une quantité différente de médicaments, notez combien.")</f>
        <v>Si vous avez distribué une quantité différente de médicaments, notez combien.</v>
      </c>
      <c r="H295" s="37" t="str">
        <f>IFERROR(__xludf.DUMMYFUNCTION("GOOGLETRANSLATE(F295,""en"",""ht"")"),"Si ou te distribye yon kantite dwòg diferan, anrejistre konbyen.")</f>
        <v>Si ou te distribye yon kantite dwòg diferan, anrejistre konbyen.</v>
      </c>
      <c r="I295" s="37" t="s">
        <v>68</v>
      </c>
      <c r="J295" s="37" t="s">
        <v>677</v>
      </c>
      <c r="K295" s="34"/>
      <c r="L295" s="34"/>
      <c r="M295" s="34"/>
      <c r="N295" s="34"/>
      <c r="O295" s="34"/>
      <c r="P295" s="34"/>
      <c r="Q295" s="34"/>
      <c r="R295" s="34"/>
      <c r="S295" s="34"/>
      <c r="T295" s="34"/>
      <c r="U295" s="34"/>
      <c r="V295" s="34"/>
      <c r="W295" s="34"/>
      <c r="X295" s="34"/>
      <c r="Y295" s="34"/>
      <c r="Z295" s="36"/>
      <c r="AA295" s="36"/>
      <c r="AB295" s="36"/>
      <c r="AC295" s="36"/>
      <c r="AD295" s="36"/>
      <c r="AE295" s="36"/>
      <c r="AF295" s="36"/>
      <c r="AG295" s="36"/>
      <c r="AH295" s="36"/>
    </row>
    <row r="296">
      <c r="A296" s="37" t="s">
        <v>451</v>
      </c>
      <c r="B296" s="40" t="s">
        <v>678</v>
      </c>
      <c r="C296" s="37" t="s">
        <v>457</v>
      </c>
      <c r="D296" s="37" t="str">
        <f>IFERROR(__xludf.DUMMYFUNCTION("GOOGLETRANSLATE(C296,""en"",""fr"")"),"Notes cliniques :")</f>
        <v>Notes cliniques :</v>
      </c>
      <c r="E296" s="37" t="str">
        <f>IFERROR(__xludf.DUMMYFUNCTION("GOOGLETRANSLATE(C296,""en"",""ht"")"),"Nòt klinik:")</f>
        <v>Nòt klinik:</v>
      </c>
      <c r="F296" s="34"/>
      <c r="G296" s="34"/>
      <c r="H296" s="34"/>
      <c r="I296" s="34"/>
      <c r="J296" s="34"/>
      <c r="K296" s="34"/>
      <c r="L296" s="34"/>
      <c r="M296" s="34"/>
      <c r="N296" s="34"/>
      <c r="O296" s="34"/>
      <c r="P296" s="34"/>
      <c r="Q296" s="34"/>
      <c r="R296" s="34"/>
      <c r="S296" s="34"/>
      <c r="T296" s="34"/>
      <c r="U296" s="34"/>
      <c r="V296" s="34"/>
      <c r="W296" s="34"/>
      <c r="X296" s="34"/>
      <c r="Y296" s="34"/>
      <c r="Z296" s="36"/>
      <c r="AA296" s="36"/>
      <c r="AB296" s="36"/>
      <c r="AC296" s="36"/>
      <c r="AD296" s="36"/>
      <c r="AE296" s="36"/>
      <c r="AF296" s="36"/>
      <c r="AG296" s="36"/>
      <c r="AH296" s="36"/>
    </row>
    <row r="297">
      <c r="A297" s="37" t="s">
        <v>82</v>
      </c>
      <c r="B297" s="40" t="s">
        <v>633</v>
      </c>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6"/>
      <c r="AA297" s="36"/>
      <c r="AB297" s="36"/>
      <c r="AC297" s="36"/>
      <c r="AD297" s="36"/>
      <c r="AE297" s="36"/>
      <c r="AF297" s="36"/>
      <c r="AG297" s="36"/>
      <c r="AH297" s="36"/>
    </row>
    <row r="298">
      <c r="A298" s="37" t="s">
        <v>49</v>
      </c>
      <c r="B298" s="40" t="s">
        <v>679</v>
      </c>
      <c r="C298" s="37" t="s">
        <v>180</v>
      </c>
      <c r="D298" s="37" t="s">
        <v>680</v>
      </c>
      <c r="E298" s="37" t="s">
        <v>681</v>
      </c>
      <c r="F298" s="34"/>
      <c r="G298" s="34"/>
      <c r="H298" s="34"/>
      <c r="I298" s="34"/>
      <c r="J298" s="37" t="s">
        <v>181</v>
      </c>
      <c r="K298" s="37" t="s">
        <v>58</v>
      </c>
      <c r="L298" s="34"/>
      <c r="M298" s="34"/>
      <c r="N298" s="34"/>
      <c r="O298" s="34"/>
      <c r="P298" s="34"/>
      <c r="Q298" s="34"/>
      <c r="R298" s="34"/>
      <c r="S298" s="34"/>
      <c r="T298" s="34"/>
      <c r="U298" s="34"/>
      <c r="V298" s="34"/>
      <c r="W298" s="34"/>
      <c r="X298" s="34"/>
      <c r="Y298" s="34"/>
      <c r="Z298" s="36"/>
      <c r="AA298" s="36"/>
      <c r="AB298" s="36"/>
      <c r="AC298" s="36"/>
      <c r="AD298" s="36"/>
      <c r="AE298" s="36"/>
      <c r="AF298" s="36"/>
      <c r="AG298" s="36"/>
      <c r="AH298" s="36"/>
    </row>
    <row r="299">
      <c r="A299" s="37" t="s">
        <v>38</v>
      </c>
      <c r="B299" s="40" t="s">
        <v>682</v>
      </c>
      <c r="C299" s="37" t="s">
        <v>683</v>
      </c>
      <c r="D299" s="37" t="str">
        <f>IFERROR(__xludf.DUMMYFUNCTION("GOOGLETRANSLATE(C299,""en"",""fr"")"),"Le patient présente une hyperglycémie légère (glucose 120-200 mg/dL).")</f>
        <v>Le patient présente une hyperglycémie légère (glucose 120-200 mg/dL).</v>
      </c>
      <c r="E299" s="37" t="str">
        <f>IFERROR(__xludf.DUMMYFUNCTION("GOOGLETRANSLATE(C299,""en"",""ht"")"),"Pasyan an gen yon ipèglisemi lejè (glikoz 120-200 mg/dL)")</f>
        <v>Pasyan an gen yon ipèglisemi lejè (glikoz 120-200 mg/dL)</v>
      </c>
      <c r="F299" s="34"/>
      <c r="G299" s="34"/>
      <c r="H299" s="34"/>
      <c r="I299" s="34"/>
      <c r="J299" s="34"/>
      <c r="K299" s="37" t="s">
        <v>182</v>
      </c>
      <c r="L299" s="34"/>
      <c r="M299" s="34"/>
      <c r="N299" s="34"/>
      <c r="O299" s="34"/>
      <c r="P299" s="34"/>
      <c r="Q299" s="34"/>
      <c r="R299" s="34"/>
      <c r="S299" s="34"/>
      <c r="T299" s="34"/>
      <c r="U299" s="34"/>
      <c r="V299" s="34"/>
      <c r="W299" s="34"/>
      <c r="X299" s="34"/>
      <c r="Y299" s="34"/>
      <c r="Z299" s="36"/>
      <c r="AA299" s="36"/>
      <c r="AB299" s="36"/>
      <c r="AC299" s="36"/>
      <c r="AD299" s="36"/>
      <c r="AE299" s="36"/>
      <c r="AF299" s="36"/>
      <c r="AG299" s="36"/>
      <c r="AH299" s="36"/>
    </row>
    <row r="300">
      <c r="A300" s="37" t="s">
        <v>38</v>
      </c>
      <c r="B300" s="40" t="s">
        <v>684</v>
      </c>
      <c r="C300" s="37" t="s">
        <v>685</v>
      </c>
      <c r="D300" s="37" t="str">
        <f>IFERROR(__xludf.DUMMYFUNCTION("GOOGLETRANSLATE(C300,""en"",""fr"")"),"Protocole :
- Expliquer que la glycémie est supérieure à la normale, mais sans danger.
- Revenir pour un nouveau test de glycémie dans 2 à 4 semaines afin de confirmer le résultat.
- Informer le patient qu’il ne doit pas manger avant le nouveau test de"&amp;" glycémie.")</f>
        <v>Protocole :
- Expliquer que la glycémie est supérieure à la normale, mais sans danger.
- Revenir pour un nouveau test de glycémie dans 2 à 4 semaines afin de confirmer le résultat.
- Informer le patient qu’il ne doit pas manger avant le nouveau test de glycémie.</v>
      </c>
      <c r="E300" s="37" t="str">
        <f>IFERROR(__xludf.DUMMYFUNCTION("GOOGLETRANSLATE(C300,""en"",""ht"")"),"Pwotokòl:
- Eksplike ke sik nan san an pi wo pase nòmal men li pa twò wo.
- Retounen pou yon lòt tès glikoz nan san nan 2-4 semèn pou konfime.
- Enfòme pasyan an pou l pa manje anvan l repete tès glikoz nan san an.")</f>
        <v>Pwotokòl:
- Eksplike ke sik nan san an pi wo pase nòmal men li pa twò wo.
- Retounen pou yon lòt tès glikoz nan san nan 2-4 semèn pou konfime.
- Enfòme pasyan an pou l pa manje anvan l repete tès glikoz nan san an.</v>
      </c>
      <c r="F300" s="34"/>
      <c r="G300" s="34"/>
      <c r="H300" s="34"/>
      <c r="I300" s="34"/>
      <c r="J300" s="34"/>
      <c r="K300" s="34"/>
      <c r="L300" s="34"/>
      <c r="M300" s="34"/>
      <c r="N300" s="34"/>
      <c r="O300" s="34"/>
      <c r="P300" s="34"/>
      <c r="Q300" s="34"/>
      <c r="R300" s="34"/>
      <c r="S300" s="34"/>
      <c r="T300" s="34"/>
      <c r="U300" s="34"/>
      <c r="V300" s="34"/>
      <c r="W300" s="34"/>
      <c r="X300" s="34"/>
      <c r="Y300" s="34"/>
      <c r="Z300" s="36"/>
      <c r="AA300" s="36"/>
      <c r="AB300" s="36"/>
      <c r="AC300" s="36"/>
      <c r="AD300" s="36"/>
      <c r="AE300" s="36"/>
      <c r="AF300" s="36"/>
      <c r="AG300" s="36"/>
      <c r="AH300" s="36"/>
    </row>
    <row r="301">
      <c r="A301" s="37" t="s">
        <v>38</v>
      </c>
      <c r="B301" s="40" t="s">
        <v>686</v>
      </c>
      <c r="C301" s="37" t="s">
        <v>669</v>
      </c>
      <c r="D301" s="37" t="str">
        <f>IFERROR(__xludf.DUMMYFUNCTION("GOOGLETRANSLATE(C301,""en"",""fr"")"),"Conseils :
- Prenez des repas réguliers et évitez de sauter des repas.
- Réduisez votre consommation d’aliments et de boissons contenant du sucre ajouté, notamment les sodas, les jus sucrés, les bonbons, les gâteaux et les pâtisseries.
- Limitez les po"&amp;"rtions importantes de riz, de pain, de pâtes et autres féculents raffinés.
- Privilégiez les céréales complètes, les légumineuses, les légumes et les fruits frais.
- Intégrez des protéines maigres (légumineuses, poisson, œufs, volaille) à vos repas.
- "&amp;"Évitez les aliments frits et gras en excès.
- Conseillez au patient de revenir pour un test de glycémie dans 1 à 2 semaines. Précisez-lui de ne pas manger avant ce rendez-vous.")</f>
        <v>Conseils :
- Prenez des repas réguliers et évitez de sauter des repas.
- Réduisez votre consommation d’aliments et de boissons contenant du sucre ajouté, notamment les sodas, les jus sucrés, les bonbons, les gâteaux et les pâtisseries.
- Limitez les portions importantes de riz, de pain, de pâtes et autres féculents raffinés.
- Privilégiez les céréales complètes, les légumineuses, les légumes et les fruits frais.
- Intégrez des protéines maigres (légumineuses, poisson, œufs, volaille) à vos repas.
- Évitez les aliments frits et gras en excès.
- Conseillez au patient de revenir pour un test de glycémie dans 1 à 2 semaines. Précisez-lui de ne pas manger avant ce rendez-vous.</v>
      </c>
      <c r="E301" s="37" t="str">
        <f>IFERROR(__xludf.DUMMYFUNCTION("GOOGLETRANSLATE(C301,""en"",""ht"")"),"Konsèy:
- Manje repa regilyèman epi evite sote repa
- Diminye manje ak bwason ki gen sik ajoute, tankou bwason gazez, ji sikre, sirèt, gato, ak patisri
- Limite gwo pòsyon diri, pen, pasta, ak lòt lanmidon rafine
- Chwazi grenn antye, pwa, legim, ak fwi f"&amp;"re
- Mete pwoteyin mèg (pwa, pwason, ze, bèt volay) nan repa yo
- Evite manje ki fri ak gra twòp
- Konseye pasyan an pou l retounen pou yon tès glikoz nan san nan 1-2 semèn. Enfòme pasyan an pou l pa manje anvan l vini.")</f>
        <v>Konsèy:
- Manje repa regilyèman epi evite sote repa
- Diminye manje ak bwason ki gen sik ajoute, tankou bwason gazez, ji sikre, sirèt, gato, ak patisri
- Limite gwo pòsyon diri, pen, pasta, ak lòt lanmidon rafine
- Chwazi grenn antye, pwa, legim, ak fwi fre
- Mete pwoteyin mèg (pwa, pwason, ze, bèt volay) nan repa yo
- Evite manje ki fri ak gra twòp
- Konseye pasyan an pou l retounen pou yon tès glikoz nan san nan 1-2 semèn. Enfòme pasyan an pou l pa manje anvan l vini.</v>
      </c>
      <c r="F301" s="34"/>
      <c r="G301" s="34"/>
      <c r="H301" s="34"/>
      <c r="I301" s="34"/>
      <c r="J301" s="34"/>
      <c r="K301" s="34"/>
      <c r="L301" s="34"/>
      <c r="M301" s="34"/>
      <c r="N301" s="34"/>
      <c r="O301" s="34"/>
      <c r="P301" s="34"/>
      <c r="Q301" s="34"/>
      <c r="R301" s="34"/>
      <c r="S301" s="34"/>
      <c r="T301" s="34"/>
      <c r="U301" s="34"/>
      <c r="V301" s="34"/>
      <c r="W301" s="34"/>
      <c r="X301" s="34"/>
      <c r="Y301" s="34"/>
      <c r="Z301" s="36"/>
      <c r="AA301" s="36"/>
      <c r="AB301" s="36"/>
      <c r="AC301" s="36"/>
      <c r="AD301" s="36"/>
      <c r="AE301" s="36"/>
      <c r="AF301" s="36"/>
      <c r="AG301" s="36"/>
      <c r="AH301" s="36"/>
    </row>
    <row r="302">
      <c r="A302" s="37" t="s">
        <v>451</v>
      </c>
      <c r="B302" s="40" t="s">
        <v>687</v>
      </c>
      <c r="C302" s="37" t="s">
        <v>457</v>
      </c>
      <c r="D302" s="37" t="str">
        <f>IFERROR(__xludf.DUMMYFUNCTION("GOOGLETRANSLATE(C302,""en"",""fr"")"),"Notes cliniques :")</f>
        <v>Notes cliniques :</v>
      </c>
      <c r="E302" s="37" t="str">
        <f>IFERROR(__xludf.DUMMYFUNCTION("GOOGLETRANSLATE(C302,""en"",""ht"")"),"Nòt klinik:")</f>
        <v>Nòt klinik:</v>
      </c>
      <c r="F302" s="34"/>
      <c r="G302" s="34"/>
      <c r="H302" s="34"/>
      <c r="I302" s="34"/>
      <c r="J302" s="34"/>
      <c r="K302" s="34"/>
      <c r="L302" s="34"/>
      <c r="M302" s="34"/>
      <c r="N302" s="34"/>
      <c r="O302" s="34"/>
      <c r="P302" s="34"/>
      <c r="Q302" s="34"/>
      <c r="R302" s="34"/>
      <c r="S302" s="34"/>
      <c r="T302" s="34"/>
      <c r="U302" s="34"/>
      <c r="V302" s="34"/>
      <c r="W302" s="34"/>
      <c r="X302" s="34"/>
      <c r="Y302" s="34"/>
      <c r="Z302" s="36"/>
      <c r="AA302" s="36"/>
      <c r="AB302" s="36"/>
      <c r="AC302" s="36"/>
      <c r="AD302" s="36"/>
      <c r="AE302" s="36"/>
      <c r="AF302" s="36"/>
      <c r="AG302" s="36"/>
      <c r="AH302" s="36"/>
    </row>
    <row r="303">
      <c r="A303" s="37" t="s">
        <v>82</v>
      </c>
      <c r="B303" s="40" t="s">
        <v>679</v>
      </c>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6"/>
      <c r="AA303" s="36"/>
      <c r="AB303" s="36"/>
      <c r="AC303" s="36"/>
      <c r="AD303" s="36"/>
      <c r="AE303" s="36"/>
      <c r="AF303" s="36"/>
      <c r="AG303" s="36"/>
      <c r="AH303" s="36"/>
    </row>
    <row r="304">
      <c r="A304" s="37" t="s">
        <v>49</v>
      </c>
      <c r="B304" s="40" t="s">
        <v>688</v>
      </c>
      <c r="C304" s="37" t="s">
        <v>238</v>
      </c>
      <c r="D304" s="37" t="s">
        <v>689</v>
      </c>
      <c r="E304" s="37" t="s">
        <v>690</v>
      </c>
      <c r="F304" s="34"/>
      <c r="G304" s="34"/>
      <c r="H304" s="34"/>
      <c r="I304" s="34"/>
      <c r="J304" s="37" t="s">
        <v>239</v>
      </c>
      <c r="K304" s="37" t="s">
        <v>58</v>
      </c>
      <c r="L304" s="34"/>
      <c r="M304" s="34"/>
      <c r="N304" s="34"/>
      <c r="O304" s="34"/>
      <c r="P304" s="34"/>
      <c r="Q304" s="34"/>
      <c r="R304" s="34"/>
      <c r="S304" s="34"/>
      <c r="T304" s="34"/>
      <c r="U304" s="34"/>
      <c r="V304" s="34"/>
      <c r="W304" s="34"/>
      <c r="X304" s="34"/>
      <c r="Y304" s="34"/>
      <c r="Z304" s="36"/>
      <c r="AA304" s="36"/>
      <c r="AB304" s="36"/>
      <c r="AC304" s="36"/>
      <c r="AD304" s="36"/>
      <c r="AE304" s="36"/>
      <c r="AF304" s="36"/>
      <c r="AG304" s="36"/>
      <c r="AH304" s="36"/>
    </row>
    <row r="305">
      <c r="A305" s="37" t="s">
        <v>38</v>
      </c>
      <c r="B305" s="40" t="s">
        <v>691</v>
      </c>
      <c r="C305" s="37" t="s">
        <v>692</v>
      </c>
      <c r="D305" s="37" t="str">
        <f>IFERROR(__xludf.DUMMYFUNCTION("GOOGLETRANSLATE(C305,""en"",""fr"")"),"Le patient présente un risque d'appendicite/cholécystite")</f>
        <v>Le patient présente un risque d'appendicite/cholécystite</v>
      </c>
      <c r="E305" s="37" t="str">
        <f>IFERROR(__xludf.DUMMYFUNCTION("GOOGLETRANSLATE(C305,""en"",""ht"")"),"Pasyan an gen risk pou l gen apendisit/kolesistit.")</f>
        <v>Pasyan an gen risk pou l gen apendisit/kolesistit.</v>
      </c>
      <c r="F305" s="34"/>
      <c r="G305" s="34"/>
      <c r="H305" s="34"/>
      <c r="I305" s="34"/>
      <c r="J305" s="34"/>
      <c r="K305" s="37" t="s">
        <v>197</v>
      </c>
      <c r="L305" s="34"/>
      <c r="M305" s="34"/>
      <c r="N305" s="34"/>
      <c r="O305" s="34"/>
      <c r="P305" s="34"/>
      <c r="Q305" s="34"/>
      <c r="R305" s="34"/>
      <c r="S305" s="34"/>
      <c r="T305" s="34"/>
      <c r="U305" s="34"/>
      <c r="V305" s="34"/>
      <c r="W305" s="34"/>
      <c r="X305" s="34"/>
      <c r="Y305" s="34"/>
      <c r="Z305" s="36"/>
      <c r="AA305" s="36"/>
      <c r="AB305" s="36"/>
      <c r="AC305" s="36"/>
      <c r="AD305" s="36"/>
      <c r="AE305" s="36"/>
      <c r="AF305" s="36"/>
      <c r="AG305" s="36"/>
      <c r="AH305" s="36"/>
    </row>
    <row r="306">
      <c r="A306" s="37" t="s">
        <v>38</v>
      </c>
      <c r="B306" s="40" t="s">
        <v>693</v>
      </c>
      <c r="C306" s="37" t="s">
        <v>694</v>
      </c>
      <c r="D306" s="37" t="str">
        <f>IFERROR(__xludf.DUMMYFUNCTION("GOOGLETRANSLATE(C306,""en"",""fr"")"),"Protocole :
- Transférer immédiatement à l'hôpital
")</f>
        <v>Protocole :
- Transférer immédiatement à l'hôpital
</v>
      </c>
      <c r="E306" s="37" t="str">
        <f>IFERROR(__xludf.DUMMYFUNCTION("GOOGLETRANSLATE(C306,""en"",""ht"")"),"Pwotokòl:
- Voye lopital imedyatman
")</f>
        <v>Pwotokòl:
- Voye lopital imedyatman
</v>
      </c>
      <c r="F306" s="34"/>
      <c r="G306" s="34"/>
      <c r="H306" s="34"/>
      <c r="I306" s="34"/>
      <c r="J306" s="34"/>
      <c r="K306" s="34"/>
      <c r="L306" s="34"/>
      <c r="M306" s="34"/>
      <c r="N306" s="34"/>
      <c r="O306" s="34"/>
      <c r="P306" s="34"/>
      <c r="Q306" s="34"/>
      <c r="R306" s="34"/>
      <c r="S306" s="34"/>
      <c r="T306" s="34"/>
      <c r="U306" s="34"/>
      <c r="V306" s="34"/>
      <c r="W306" s="34"/>
      <c r="X306" s="34"/>
      <c r="Y306" s="34"/>
      <c r="Z306" s="36"/>
      <c r="AA306" s="36"/>
      <c r="AB306" s="36"/>
      <c r="AC306" s="36"/>
      <c r="AD306" s="36"/>
      <c r="AE306" s="36"/>
      <c r="AF306" s="36"/>
      <c r="AG306" s="36"/>
      <c r="AH306" s="36"/>
    </row>
    <row r="307">
      <c r="A307" s="37" t="s">
        <v>38</v>
      </c>
      <c r="B307" s="40" t="s">
        <v>695</v>
      </c>
      <c r="C307" s="37" t="s">
        <v>444</v>
      </c>
      <c r="D307" s="37" t="str">
        <f>IFERROR(__xludf.DUMMYFUNCTION("GOOGLETRANSLATE(C307,""en"",""fr"")"),"Accompagnement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07" s="37" t="str">
        <f>IFERROR(__xludf.DUMMYFUNCTION("GOOGLETRANSLATE(C307,""en"",""ht"")"),"Konsèy:
- (Konsèy TODO pa bay nan pwotokòl swen yo - ajoute kòm espas vid pou fidbak enfimyè yo)")</f>
        <v>Konsèy:
- (Konsèy TODO pa bay nan pwotokòl swen yo - ajoute kòm espas vid pou fidbak enfimyè yo)</v>
      </c>
      <c r="F307" s="34"/>
      <c r="G307" s="34"/>
      <c r="H307" s="34"/>
      <c r="I307" s="34"/>
      <c r="J307" s="34"/>
      <c r="K307" s="34"/>
      <c r="L307" s="34"/>
      <c r="M307" s="34"/>
      <c r="N307" s="34"/>
      <c r="O307" s="34"/>
      <c r="P307" s="34"/>
      <c r="Q307" s="34"/>
      <c r="R307" s="34"/>
      <c r="S307" s="34"/>
      <c r="T307" s="34"/>
      <c r="U307" s="34"/>
      <c r="V307" s="34"/>
      <c r="W307" s="34"/>
      <c r="X307" s="34"/>
      <c r="Y307" s="34"/>
      <c r="Z307" s="36"/>
      <c r="AA307" s="36"/>
      <c r="AB307" s="36"/>
      <c r="AC307" s="36"/>
      <c r="AD307" s="36"/>
      <c r="AE307" s="36"/>
      <c r="AF307" s="36"/>
      <c r="AG307" s="36"/>
      <c r="AH307" s="36"/>
    </row>
    <row r="308">
      <c r="A308" s="37" t="s">
        <v>451</v>
      </c>
      <c r="B308" s="40" t="s">
        <v>696</v>
      </c>
      <c r="C308" s="37" t="s">
        <v>457</v>
      </c>
      <c r="D308" s="37" t="str">
        <f>IFERROR(__xludf.DUMMYFUNCTION("GOOGLETRANSLATE(C308,""en"",""fr"")"),"Notes cliniques :")</f>
        <v>Notes cliniques :</v>
      </c>
      <c r="E308" s="37" t="str">
        <f>IFERROR(__xludf.DUMMYFUNCTION("GOOGLETRANSLATE(C308,""en"",""ht"")"),"Nòt klinik:")</f>
        <v>Nòt klinik:</v>
      </c>
      <c r="F308" s="34"/>
      <c r="G308" s="34"/>
      <c r="H308" s="34"/>
      <c r="I308" s="34"/>
      <c r="J308" s="34"/>
      <c r="K308" s="34"/>
      <c r="L308" s="34"/>
      <c r="M308" s="34"/>
      <c r="N308" s="34"/>
      <c r="O308" s="34"/>
      <c r="P308" s="34"/>
      <c r="Q308" s="34"/>
      <c r="R308" s="34"/>
      <c r="S308" s="34"/>
      <c r="T308" s="34"/>
      <c r="U308" s="34"/>
      <c r="V308" s="34"/>
      <c r="W308" s="34"/>
      <c r="X308" s="34"/>
      <c r="Y308" s="34"/>
      <c r="Z308" s="36"/>
      <c r="AA308" s="36"/>
      <c r="AB308" s="36"/>
      <c r="AC308" s="36"/>
      <c r="AD308" s="36"/>
      <c r="AE308" s="36"/>
      <c r="AF308" s="36"/>
      <c r="AG308" s="36"/>
      <c r="AH308" s="36"/>
    </row>
    <row r="309">
      <c r="A309" s="37" t="s">
        <v>82</v>
      </c>
      <c r="B309" s="40" t="s">
        <v>688</v>
      </c>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6"/>
      <c r="AA309" s="36"/>
      <c r="AB309" s="36"/>
      <c r="AC309" s="36"/>
      <c r="AD309" s="36"/>
      <c r="AE309" s="36"/>
      <c r="AF309" s="36"/>
      <c r="AG309" s="36"/>
      <c r="AH309" s="36"/>
    </row>
    <row r="310">
      <c r="A310" s="37" t="s">
        <v>49</v>
      </c>
      <c r="B310" s="40" t="s">
        <v>697</v>
      </c>
      <c r="C310" s="37" t="s">
        <v>217</v>
      </c>
      <c r="D310" s="37" t="s">
        <v>698</v>
      </c>
      <c r="E310" s="37" t="s">
        <v>699</v>
      </c>
      <c r="F310" s="34"/>
      <c r="G310" s="34"/>
      <c r="H310" s="34"/>
      <c r="I310" s="34"/>
      <c r="J310" s="37" t="s">
        <v>218</v>
      </c>
      <c r="K310" s="37" t="s">
        <v>58</v>
      </c>
      <c r="L310" s="34"/>
      <c r="M310" s="34"/>
      <c r="N310" s="34"/>
      <c r="O310" s="34"/>
      <c r="P310" s="34"/>
      <c r="Q310" s="34"/>
      <c r="R310" s="34"/>
      <c r="S310" s="34"/>
      <c r="T310" s="34"/>
      <c r="U310" s="34"/>
      <c r="V310" s="34"/>
      <c r="W310" s="34"/>
      <c r="X310" s="34"/>
      <c r="Y310" s="34"/>
      <c r="Z310" s="36"/>
      <c r="AA310" s="36"/>
      <c r="AB310" s="36"/>
      <c r="AC310" s="36"/>
      <c r="AD310" s="36"/>
      <c r="AE310" s="36"/>
      <c r="AF310" s="36"/>
      <c r="AG310" s="36"/>
      <c r="AH310" s="36"/>
    </row>
    <row r="311">
      <c r="A311" s="37" t="s">
        <v>38</v>
      </c>
      <c r="B311" s="40" t="s">
        <v>700</v>
      </c>
      <c r="C311" s="37" t="s">
        <v>701</v>
      </c>
      <c r="D311" s="37" t="str">
        <f>IFERROR(__xludf.DUMMYFUNCTION("GOOGLETRANSLATE(C311,""en"",""fr"")"),"Le patient présente un risque de choléra")</f>
        <v>Le patient présente un risque de choléra</v>
      </c>
      <c r="E311" s="37" t="str">
        <f>IFERROR(__xludf.DUMMYFUNCTION("GOOGLETRANSLATE(C311,""en"",""ht"")"),"Pasyan an gen risk pou l pran kolera")</f>
        <v>Pasyan an gen risk pou l pran kolera</v>
      </c>
      <c r="F311" s="34"/>
      <c r="G311" s="34"/>
      <c r="H311" s="34"/>
      <c r="I311" s="34"/>
      <c r="J311" s="34"/>
      <c r="K311" s="37" t="s">
        <v>197</v>
      </c>
      <c r="L311" s="34"/>
      <c r="M311" s="34"/>
      <c r="N311" s="34"/>
      <c r="O311" s="34"/>
      <c r="P311" s="34"/>
      <c r="Q311" s="34"/>
      <c r="R311" s="34"/>
      <c r="S311" s="34"/>
      <c r="T311" s="34"/>
      <c r="U311" s="34"/>
      <c r="V311" s="34"/>
      <c r="W311" s="34"/>
      <c r="X311" s="34"/>
      <c r="Y311" s="34"/>
      <c r="Z311" s="36"/>
      <c r="AA311" s="36"/>
      <c r="AB311" s="36"/>
      <c r="AC311" s="36"/>
      <c r="AD311" s="36"/>
      <c r="AE311" s="36"/>
      <c r="AF311" s="36"/>
      <c r="AG311" s="36"/>
      <c r="AH311" s="36"/>
    </row>
    <row r="312">
      <c r="A312" s="37" t="s">
        <v>38</v>
      </c>
      <c r="B312" s="40" t="s">
        <v>702</v>
      </c>
      <c r="C312" s="37" t="s">
        <v>703</v>
      </c>
      <c r="D312" s="37" t="str">
        <f>IFERROR(__xludf.DUMMYFUNCTION("GOOGLETRANSLATE(C312,""en"",""fr"")"),"Protocole :
- Administrer du Ringer lactate par voie intraveineuse en cas de déshydratation sévère.
- Orienter le patient vers un hôpital ou un centre de traitement du choléra disposant de SRO.")</f>
        <v>Protocole :
- Administrer du Ringer lactate par voie intraveineuse en cas de déshydratation sévère.
- Orienter le patient vers un hôpital ou un centre de traitement du choléra disposant de SRO.</v>
      </c>
      <c r="E312" s="37" t="str">
        <f>IFERROR(__xludf.DUMMYFUNCTION("GOOGLETRANSLATE(C312,""en"",""ht"")"),"Pwotokòl:
- Kòmanse IV Ringer's Lactate si dezidratasyon grav
- Voye lopital la oswa nan yon sant tretman kolera ki prepare ak ORS")</f>
        <v>Pwotokòl:
- Kòmanse IV Ringer's Lactate si dezidratasyon grav
- Voye lopital la oswa nan yon sant tretman kolera ki prepare ak ORS</v>
      </c>
      <c r="F312" s="34"/>
      <c r="G312" s="34"/>
      <c r="H312" s="34"/>
      <c r="I312" s="34"/>
      <c r="J312" s="34"/>
      <c r="K312" s="34"/>
      <c r="L312" s="34"/>
      <c r="M312" s="34"/>
      <c r="N312" s="34"/>
      <c r="O312" s="34"/>
      <c r="P312" s="34"/>
      <c r="Q312" s="34"/>
      <c r="R312" s="34"/>
      <c r="S312" s="34"/>
      <c r="T312" s="34"/>
      <c r="U312" s="34"/>
      <c r="V312" s="34"/>
      <c r="W312" s="34"/>
      <c r="X312" s="34"/>
      <c r="Y312" s="34"/>
      <c r="Z312" s="36"/>
      <c r="AA312" s="36"/>
      <c r="AB312" s="36"/>
      <c r="AC312" s="36"/>
      <c r="AD312" s="36"/>
      <c r="AE312" s="36"/>
      <c r="AF312" s="36"/>
      <c r="AG312" s="36"/>
      <c r="AH312" s="36"/>
    </row>
    <row r="313">
      <c r="A313" s="37" t="s">
        <v>38</v>
      </c>
      <c r="B313" s="40" t="s">
        <v>704</v>
      </c>
      <c r="C313" s="37" t="s">
        <v>444</v>
      </c>
      <c r="D313" s="37" t="str">
        <f>IFERROR(__xludf.DUMMYFUNCTION("GOOGLETRANSLATE(C313,""en"",""fr"")"),"Accompagnement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13" s="37" t="str">
        <f>IFERROR(__xludf.DUMMYFUNCTION("GOOGLETRANSLATE(C313,""en"",""ht"")"),"Konsèy:
- (Konsèy TODO pa bay nan pwotokòl swen yo - ajoute kòm espas vid pou fidbak enfimyè yo)")</f>
        <v>Konsèy:
- (Konsèy TODO pa bay nan pwotokòl swen yo - ajoute kòm espas vid pou fidbak enfimyè yo)</v>
      </c>
      <c r="F313" s="34"/>
      <c r="G313" s="34"/>
      <c r="H313" s="34"/>
      <c r="I313" s="34"/>
      <c r="J313" s="34"/>
      <c r="K313" s="34"/>
      <c r="L313" s="34"/>
      <c r="M313" s="34"/>
      <c r="N313" s="34"/>
      <c r="O313" s="34"/>
      <c r="P313" s="34"/>
      <c r="Q313" s="34"/>
      <c r="R313" s="34"/>
      <c r="S313" s="34"/>
      <c r="T313" s="34"/>
      <c r="U313" s="34"/>
      <c r="V313" s="34"/>
      <c r="W313" s="34"/>
      <c r="X313" s="34"/>
      <c r="Y313" s="34"/>
      <c r="Z313" s="36"/>
      <c r="AA313" s="36"/>
      <c r="AB313" s="36"/>
      <c r="AC313" s="36"/>
      <c r="AD313" s="36"/>
      <c r="AE313" s="36"/>
      <c r="AF313" s="36"/>
      <c r="AG313" s="36"/>
      <c r="AH313" s="36"/>
    </row>
    <row r="314">
      <c r="A314" s="37" t="s">
        <v>451</v>
      </c>
      <c r="B314" s="40" t="s">
        <v>705</v>
      </c>
      <c r="C314" s="37" t="s">
        <v>457</v>
      </c>
      <c r="D314" s="48" t="str">
        <f>IFERROR(__xludf.DUMMYFUNCTION("GOOGLETRANSLATE(C314,""en"",""fr"")"),"Notes cliniques :")</f>
        <v>Notes cliniques :</v>
      </c>
      <c r="E314" s="48" t="str">
        <f>IFERROR(__xludf.DUMMYFUNCTION("GOOGLETRANSLATE(C314,""en"",""ht"")"),"Nòt klinik:")</f>
        <v>Nòt klinik:</v>
      </c>
      <c r="F314" s="34"/>
      <c r="G314" s="34"/>
      <c r="H314" s="34"/>
      <c r="I314" s="34"/>
      <c r="J314" s="34"/>
      <c r="K314" s="34"/>
      <c r="L314" s="34"/>
      <c r="M314" s="34"/>
      <c r="N314" s="34"/>
      <c r="O314" s="34"/>
      <c r="P314" s="34"/>
      <c r="Q314" s="34"/>
      <c r="R314" s="34"/>
      <c r="S314" s="34"/>
      <c r="T314" s="34"/>
      <c r="U314" s="34"/>
      <c r="V314" s="34"/>
      <c r="W314" s="34"/>
      <c r="X314" s="34"/>
      <c r="Y314" s="34"/>
      <c r="Z314" s="36"/>
      <c r="AA314" s="36"/>
      <c r="AB314" s="36"/>
      <c r="AC314" s="36"/>
      <c r="AD314" s="36"/>
      <c r="AE314" s="36"/>
      <c r="AF314" s="36"/>
      <c r="AG314" s="36"/>
      <c r="AH314" s="36"/>
    </row>
    <row r="315">
      <c r="A315" s="37" t="s">
        <v>82</v>
      </c>
      <c r="B315" s="40" t="s">
        <v>697</v>
      </c>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6"/>
      <c r="AA315" s="36"/>
      <c r="AB315" s="36"/>
      <c r="AC315" s="36"/>
      <c r="AD315" s="36"/>
      <c r="AE315" s="36"/>
      <c r="AF315" s="36"/>
      <c r="AG315" s="36"/>
      <c r="AH315" s="36"/>
    </row>
    <row r="316">
      <c r="A316" s="37" t="s">
        <v>49</v>
      </c>
      <c r="B316" s="40" t="s">
        <v>706</v>
      </c>
      <c r="C316" s="37" t="s">
        <v>203</v>
      </c>
      <c r="D316" s="37" t="s">
        <v>707</v>
      </c>
      <c r="E316" s="37" t="s">
        <v>708</v>
      </c>
      <c r="F316" s="34"/>
      <c r="G316" s="34"/>
      <c r="H316" s="34"/>
      <c r="I316" s="34"/>
      <c r="J316" s="37" t="s">
        <v>204</v>
      </c>
      <c r="K316" s="37" t="s">
        <v>58</v>
      </c>
      <c r="L316" s="34"/>
      <c r="M316" s="34"/>
      <c r="N316" s="34"/>
      <c r="O316" s="34"/>
      <c r="P316" s="34"/>
      <c r="Q316" s="34"/>
      <c r="R316" s="34"/>
      <c r="S316" s="34"/>
      <c r="T316" s="34"/>
      <c r="U316" s="34"/>
      <c r="V316" s="34"/>
      <c r="W316" s="34"/>
      <c r="X316" s="34"/>
      <c r="Y316" s="34"/>
      <c r="Z316" s="36"/>
      <c r="AA316" s="36"/>
      <c r="AB316" s="36"/>
      <c r="AC316" s="36"/>
      <c r="AD316" s="36"/>
      <c r="AE316" s="36"/>
      <c r="AF316" s="36"/>
      <c r="AG316" s="36"/>
      <c r="AH316" s="36"/>
    </row>
    <row r="317">
      <c r="A317" s="37" t="s">
        <v>38</v>
      </c>
      <c r="B317" s="40" t="s">
        <v>709</v>
      </c>
      <c r="C317" s="37" t="s">
        <v>710</v>
      </c>
      <c r="D317" s="48" t="str">
        <f>IFERROR(__xludf.DUMMYFUNCTION("GOOGLETRANSLATE(C317,""en"",""fr"")"),"Le patient présente une gastrite/un ulcère sévère.")</f>
        <v>Le patient présente une gastrite/un ulcère sévère.</v>
      </c>
      <c r="E317" s="48" t="str">
        <f>IFERROR(__xludf.DUMMYFUNCTION("GOOGLETRANSLATE(C317,""en"",""ht"")"),"Pasyan an gen gastrit/ilsè grav")</f>
        <v>Pasyan an gen gastrit/ilsè grav</v>
      </c>
      <c r="F317" s="34"/>
      <c r="G317" s="34"/>
      <c r="H317" s="34"/>
      <c r="I317" s="34"/>
      <c r="J317" s="34"/>
      <c r="K317" s="37" t="s">
        <v>197</v>
      </c>
      <c r="L317" s="34"/>
      <c r="M317" s="34"/>
      <c r="N317" s="34"/>
      <c r="O317" s="34"/>
      <c r="P317" s="34"/>
      <c r="Q317" s="34"/>
      <c r="R317" s="34"/>
      <c r="S317" s="34"/>
      <c r="T317" s="34"/>
      <c r="U317" s="34"/>
      <c r="V317" s="34"/>
      <c r="W317" s="34"/>
      <c r="X317" s="34"/>
      <c r="Y317" s="34"/>
      <c r="Z317" s="36"/>
      <c r="AA317" s="36"/>
      <c r="AB317" s="36"/>
      <c r="AC317" s="36"/>
      <c r="AD317" s="36"/>
      <c r="AE317" s="36"/>
      <c r="AF317" s="36"/>
      <c r="AG317" s="36"/>
      <c r="AH317" s="36"/>
    </row>
    <row r="318">
      <c r="A318" s="37" t="s">
        <v>38</v>
      </c>
      <c r="B318" s="40" t="s">
        <v>711</v>
      </c>
      <c r="C318" s="37" t="s">
        <v>712</v>
      </c>
      <c r="D318" s="48" t="str">
        <f>IFERROR(__xludf.DUMMYFUNCTION("GOOGLETRANSLATE(C318,""en"",""fr"")"),"Protocole :
- Administrer 20 ml de gel de Litacid
- Administrer 1 comprimé d’oméprazole 40 mg par voie intramusculaire
- Administrer 1 comprimé de Buscopan 20 mg par voie intramusculaire
- Orienter le patient vers un spécialiste")</f>
        <v>Protocole :
- Administrer 20 ml de gel de Litacid
- Administrer 1 comprimé d’oméprazole 40 mg par voie intramusculaire
- Administrer 1 comprimé de Buscopan 20 mg par voie intramusculaire
- Orienter le patient vers un spécialiste</v>
      </c>
      <c r="E318" s="48" t="str">
        <f>IFERROR(__xludf.DUMMYFUNCTION("GOOGLETRANSLATE(C318,""en"",""ht"")"),"Pwotokòl:
- Administre 20cc jèl Litacid 20cc
- Administre 1 Omeprazole 40mg IM
- Administre 1 Buscopan 20mg IM
- Voye pasyan an bay doktè a")</f>
        <v>Pwotokòl:
- Administre 20cc jèl Litacid 20cc
- Administre 1 Omeprazole 40mg IM
- Administre 1 Buscopan 20mg IM
- Voye pasyan an bay doktè a</v>
      </c>
      <c r="F318" s="34"/>
      <c r="G318" s="34"/>
      <c r="H318" s="34"/>
      <c r="I318" s="34"/>
      <c r="J318" s="34"/>
      <c r="K318" s="34"/>
      <c r="L318" s="34"/>
      <c r="M318" s="34"/>
      <c r="N318" s="34"/>
      <c r="O318" s="34"/>
      <c r="P318" s="34"/>
      <c r="Q318" s="34"/>
      <c r="R318" s="34"/>
      <c r="S318" s="34"/>
      <c r="T318" s="34"/>
      <c r="U318" s="34"/>
      <c r="V318" s="34"/>
      <c r="W318" s="34"/>
      <c r="X318" s="34"/>
      <c r="Y318" s="34"/>
      <c r="Z318" s="36"/>
      <c r="AA318" s="36"/>
      <c r="AB318" s="36"/>
      <c r="AC318" s="36"/>
      <c r="AD318" s="36"/>
      <c r="AE318" s="36"/>
      <c r="AF318" s="36"/>
      <c r="AG318" s="36"/>
      <c r="AH318" s="36"/>
    </row>
    <row r="319">
      <c r="A319" s="37" t="s">
        <v>38</v>
      </c>
      <c r="B319" s="40" t="s">
        <v>713</v>
      </c>
      <c r="C319" s="37" t="s">
        <v>444</v>
      </c>
      <c r="D319" s="48" t="str">
        <f>IFERROR(__xludf.DUMMYFUNCTION("GOOGLETRANSLATE(C319,""en"",""fr"")"),"Accompagnement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19" s="48" t="str">
        <f>IFERROR(__xludf.DUMMYFUNCTION("GOOGLETRANSLATE(C319,""en"",""ht"")"),"Konsèy:
- (Konsèy TODO pa bay nan pwotokòl swen yo - ajoute kòm espas vid pou fidbak enfimyè yo)")</f>
        <v>Konsèy:
- (Konsèy TODO pa bay nan pwotokòl swen yo - ajoute kòm espas vid pou fidbak enfimyè yo)</v>
      </c>
      <c r="F319" s="34"/>
      <c r="G319" s="34"/>
      <c r="H319" s="34"/>
      <c r="I319" s="34"/>
      <c r="J319" s="34"/>
      <c r="K319" s="34"/>
      <c r="L319" s="34"/>
      <c r="M319" s="34"/>
      <c r="N319" s="34"/>
      <c r="O319" s="34"/>
      <c r="P319" s="34"/>
      <c r="Q319" s="34"/>
      <c r="R319" s="34"/>
      <c r="S319" s="34"/>
      <c r="T319" s="34"/>
      <c r="U319" s="34"/>
      <c r="V319" s="34"/>
      <c r="W319" s="34"/>
      <c r="X319" s="34"/>
      <c r="Y319" s="34"/>
      <c r="Z319" s="36"/>
      <c r="AA319" s="36"/>
      <c r="AB319" s="36"/>
      <c r="AC319" s="36"/>
      <c r="AD319" s="36"/>
      <c r="AE319" s="36"/>
      <c r="AF319" s="36"/>
      <c r="AG319" s="36"/>
      <c r="AH319" s="36"/>
    </row>
    <row r="320">
      <c r="A320" s="37" t="s">
        <v>445</v>
      </c>
      <c r="B320" s="40" t="s">
        <v>714</v>
      </c>
      <c r="C320" s="37" t="s">
        <v>715</v>
      </c>
      <c r="D320" s="48" t="str">
        <f>IFERROR(__xludf.DUMMYFUNCTION("GOOGLETRANSLATE(C320,""en"",""fr"")"),"Avez-vous administré 20 cc de gel Litacid ?")</f>
        <v>Avez-vous administré 20 cc de gel Litacid ?</v>
      </c>
      <c r="E320" s="48" t="str">
        <f>IFERROR(__xludf.DUMMYFUNCTION("GOOGLETRANSLATE(C320,""en"",""ht"")"),"Èske ou te administre Litacid Gel 20cc?")</f>
        <v>Èske ou te administre Litacid Gel 20cc?</v>
      </c>
      <c r="F320" s="34"/>
      <c r="G320" s="34"/>
      <c r="H320" s="34"/>
      <c r="I320" s="34"/>
      <c r="J320" s="34"/>
      <c r="K320" s="34"/>
      <c r="L320" s="34"/>
      <c r="M320" s="34"/>
      <c r="N320" s="34"/>
      <c r="O320" s="34"/>
      <c r="P320" s="34"/>
      <c r="R320" s="34"/>
      <c r="S320" s="34"/>
      <c r="T320" s="34"/>
      <c r="U320" s="34"/>
      <c r="V320" s="34"/>
      <c r="W320" s="34"/>
      <c r="X320" s="34"/>
      <c r="Y320" s="34"/>
      <c r="Z320" s="36"/>
      <c r="AA320" s="36"/>
      <c r="AB320" s="36"/>
      <c r="AC320" s="36"/>
      <c r="AD320" s="36"/>
      <c r="AE320" s="36"/>
      <c r="AF320" s="36"/>
      <c r="AG320" s="36"/>
      <c r="AH320" s="36"/>
    </row>
    <row r="321">
      <c r="A321" s="37" t="s">
        <v>102</v>
      </c>
      <c r="B321" s="40" t="s">
        <v>716</v>
      </c>
      <c r="C321" s="37" t="s">
        <v>54</v>
      </c>
      <c r="D321" s="34"/>
      <c r="E321" s="34"/>
      <c r="F321" s="34"/>
      <c r="G321" s="34"/>
      <c r="H321" s="34"/>
      <c r="I321" s="34"/>
      <c r="J321" s="34"/>
      <c r="K321" s="34"/>
      <c r="L321" s="34"/>
      <c r="M321" s="34"/>
      <c r="N321" s="34"/>
      <c r="O321" s="34"/>
      <c r="P321" s="37"/>
      <c r="Q321" s="37" t="s">
        <v>717</v>
      </c>
      <c r="R321" s="34"/>
      <c r="S321" s="34"/>
      <c r="T321" s="34"/>
      <c r="U321" s="34"/>
      <c r="V321" s="34"/>
      <c r="W321" s="34"/>
      <c r="X321" s="34"/>
      <c r="Y321" s="34"/>
      <c r="Z321" s="36"/>
      <c r="AA321" s="36"/>
      <c r="AB321" s="36"/>
      <c r="AC321" s="36"/>
      <c r="AD321" s="36"/>
      <c r="AE321" s="36"/>
      <c r="AF321" s="36"/>
      <c r="AG321" s="36"/>
      <c r="AH321" s="36"/>
    </row>
    <row r="322">
      <c r="A322" s="37" t="s">
        <v>445</v>
      </c>
      <c r="B322" s="40" t="s">
        <v>718</v>
      </c>
      <c r="C322" s="37" t="s">
        <v>719</v>
      </c>
      <c r="D322" s="48" t="str">
        <f>IFERROR(__xludf.DUMMYFUNCTION("GOOGLETRANSLATE(C322,""en"",""fr"")"),"Avez-vous distribué de l'oméprazole 40 mg IM ?")</f>
        <v>Avez-vous distribué de l'oméprazole 40 mg IM ?</v>
      </c>
      <c r="E322" s="48" t="str">
        <f>IFERROR(__xludf.DUMMYFUNCTION("GOOGLETRANSLATE(C322,""en"",""ht"")"),"Èske ou te distribye Omeprazole 40mg IM?")</f>
        <v>Èske ou te distribye Omeprazole 40mg IM?</v>
      </c>
      <c r="F322" s="34"/>
      <c r="G322" s="34"/>
      <c r="H322" s="34"/>
      <c r="I322" s="34"/>
      <c r="J322" s="34"/>
      <c r="K322" s="34"/>
      <c r="L322" s="34"/>
      <c r="M322" s="34"/>
      <c r="N322" s="34"/>
      <c r="O322" s="34"/>
      <c r="P322" s="34"/>
      <c r="R322" s="34"/>
      <c r="S322" s="34"/>
      <c r="T322" s="34"/>
      <c r="U322" s="34"/>
      <c r="V322" s="34"/>
      <c r="W322" s="34"/>
      <c r="X322" s="34"/>
      <c r="Y322" s="34"/>
      <c r="Z322" s="36"/>
      <c r="AA322" s="36"/>
      <c r="AB322" s="36"/>
      <c r="AC322" s="36"/>
      <c r="AD322" s="36"/>
      <c r="AE322" s="36"/>
      <c r="AF322" s="36"/>
      <c r="AG322" s="36"/>
      <c r="AH322" s="36"/>
    </row>
    <row r="323">
      <c r="A323" s="37" t="s">
        <v>102</v>
      </c>
      <c r="B323" s="40" t="s">
        <v>720</v>
      </c>
      <c r="C323" s="37" t="s">
        <v>54</v>
      </c>
      <c r="D323" s="34"/>
      <c r="E323" s="34"/>
      <c r="F323" s="34"/>
      <c r="G323" s="34"/>
      <c r="H323" s="34"/>
      <c r="I323" s="34"/>
      <c r="J323" s="34"/>
      <c r="K323" s="34"/>
      <c r="L323" s="34"/>
      <c r="M323" s="34"/>
      <c r="N323" s="34"/>
      <c r="O323" s="34"/>
      <c r="P323" s="37"/>
      <c r="Q323" s="37" t="s">
        <v>721</v>
      </c>
      <c r="R323" s="34"/>
      <c r="S323" s="34"/>
      <c r="T323" s="34"/>
      <c r="U323" s="34"/>
      <c r="V323" s="34"/>
      <c r="W323" s="34"/>
      <c r="X323" s="34"/>
      <c r="Y323" s="34"/>
      <c r="Z323" s="36"/>
      <c r="AA323" s="36"/>
      <c r="AB323" s="36"/>
      <c r="AC323" s="36"/>
      <c r="AD323" s="36"/>
      <c r="AE323" s="36"/>
      <c r="AF323" s="36"/>
      <c r="AG323" s="36"/>
      <c r="AH323" s="36"/>
    </row>
    <row r="324">
      <c r="A324" s="37" t="s">
        <v>445</v>
      </c>
      <c r="B324" s="40" t="s">
        <v>722</v>
      </c>
      <c r="C324" s="37" t="s">
        <v>723</v>
      </c>
      <c r="D324" s="48" t="str">
        <f>IFERROR(__xludf.DUMMYFUNCTION("GOOGLETRANSLATE(C324,""en"",""fr"")"),"Avez-vous distribué du Buscopan 20 mg IM ?")</f>
        <v>Avez-vous distribué du Buscopan 20 mg IM ?</v>
      </c>
      <c r="E324" s="48" t="str">
        <f>IFERROR(__xludf.DUMMYFUNCTION("GOOGLETRANSLATE(C324,""en"",""ht"")"),"Èske ou te distribye Buscopan 20mg IM?")</f>
        <v>Èske ou te distribye Buscopan 20mg IM?</v>
      </c>
      <c r="F324" s="34"/>
      <c r="G324" s="34"/>
      <c r="H324" s="34"/>
      <c r="I324" s="34"/>
      <c r="J324" s="34"/>
      <c r="K324" s="34"/>
      <c r="L324" s="34"/>
      <c r="M324" s="34"/>
      <c r="N324" s="34"/>
      <c r="O324" s="34"/>
      <c r="P324" s="34"/>
      <c r="R324" s="34"/>
      <c r="S324" s="34"/>
      <c r="T324" s="34"/>
      <c r="U324" s="34"/>
      <c r="V324" s="34"/>
      <c r="W324" s="34"/>
      <c r="X324" s="34"/>
      <c r="Y324" s="34"/>
      <c r="Z324" s="36"/>
      <c r="AA324" s="36"/>
      <c r="AB324" s="36"/>
      <c r="AC324" s="36"/>
      <c r="AD324" s="36"/>
      <c r="AE324" s="36"/>
      <c r="AF324" s="36"/>
      <c r="AG324" s="36"/>
      <c r="AH324" s="36"/>
    </row>
    <row r="325">
      <c r="A325" s="37" t="s">
        <v>102</v>
      </c>
      <c r="B325" s="40" t="s">
        <v>724</v>
      </c>
      <c r="C325" s="37" t="s">
        <v>54</v>
      </c>
      <c r="D325" s="34"/>
      <c r="E325" s="34"/>
      <c r="F325" s="34"/>
      <c r="G325" s="34"/>
      <c r="H325" s="34"/>
      <c r="I325" s="34"/>
      <c r="J325" s="34"/>
      <c r="K325" s="34"/>
      <c r="L325" s="34"/>
      <c r="M325" s="34"/>
      <c r="N325" s="34"/>
      <c r="O325" s="34"/>
      <c r="P325" s="37"/>
      <c r="Q325" s="37" t="s">
        <v>725</v>
      </c>
      <c r="R325" s="34"/>
      <c r="S325" s="34"/>
      <c r="T325" s="34"/>
      <c r="U325" s="34"/>
      <c r="V325" s="34"/>
      <c r="W325" s="34"/>
      <c r="X325" s="34"/>
      <c r="Y325" s="34"/>
      <c r="Z325" s="36"/>
      <c r="AA325" s="36"/>
      <c r="AB325" s="36"/>
      <c r="AC325" s="36"/>
      <c r="AD325" s="36"/>
      <c r="AE325" s="36"/>
      <c r="AF325" s="36"/>
      <c r="AG325" s="36"/>
      <c r="AH325" s="36"/>
    </row>
    <row r="326">
      <c r="A326" s="37" t="s">
        <v>451</v>
      </c>
      <c r="B326" s="40" t="s">
        <v>726</v>
      </c>
      <c r="C326" s="37" t="s">
        <v>453</v>
      </c>
      <c r="D326" s="49" t="str">
        <f>IFERROR(__xludf.DUMMYFUNCTION("GOOGLETRANSLATE(C326,""en"",""fr"")"),"Vous avez laissé au moins une confirmation de médicament vide. Si cela est intentionnel, veuillez indiquer pourquoi ci-dessous.")</f>
        <v>Vous avez laissé au moins une confirmation de médicament vide. Si cela est intentionnel, veuillez indiquer pourquoi ci-dessous.</v>
      </c>
      <c r="E326" s="49" t="str">
        <f>IFERROR(__xludf.DUMMYFUNCTION("GOOGLETRANSLATE(C326,""en"",""ht"")"),"Ou kite omwen yon konfimasyon medikaman vid. Si se espre, ekri poukisa anba a.")</f>
        <v>Ou kite omwen yon konfimasyon medikaman vid. Si se espre, ekri poukisa anba a.</v>
      </c>
      <c r="F326" s="37" t="s">
        <v>454</v>
      </c>
      <c r="G326" s="48" t="str">
        <f>IFERROR(__xludf.DUMMYFUNCTION("GOOGLETRANSLATE(F326,""en"",""fr"")"),"Si vous avez distribué une quantité différente de médicaments, notez combien.")</f>
        <v>Si vous avez distribué une quantité différente de médicaments, notez combien.</v>
      </c>
      <c r="H326" s="48" t="str">
        <f>IFERROR(__xludf.DUMMYFUNCTION("GOOGLETRANSLATE(F326,""en"",""ht"")"),"Si ou te distribye yon kantite dwòg diferan, anrejistre konbyen.")</f>
        <v>Si ou te distribye yon kantite dwòg diferan, anrejistre konbyen.</v>
      </c>
      <c r="I326" s="37" t="s">
        <v>68</v>
      </c>
      <c r="J326" s="37" t="s">
        <v>727</v>
      </c>
      <c r="K326" s="34"/>
      <c r="L326" s="34"/>
      <c r="M326" s="34"/>
      <c r="N326" s="34"/>
      <c r="O326" s="34"/>
      <c r="P326" s="34"/>
      <c r="Q326" s="34"/>
      <c r="R326" s="34"/>
      <c r="S326" s="34"/>
      <c r="T326" s="34"/>
      <c r="U326" s="34"/>
      <c r="V326" s="34"/>
      <c r="W326" s="34"/>
      <c r="X326" s="34"/>
      <c r="Y326" s="34"/>
      <c r="Z326" s="36"/>
      <c r="AA326" s="36"/>
      <c r="AB326" s="36"/>
      <c r="AC326" s="36"/>
      <c r="AD326" s="36"/>
      <c r="AE326" s="36"/>
      <c r="AF326" s="36"/>
      <c r="AG326" s="36"/>
      <c r="AH326" s="36"/>
    </row>
    <row r="327">
      <c r="A327" s="37" t="s">
        <v>451</v>
      </c>
      <c r="B327" s="40" t="s">
        <v>728</v>
      </c>
      <c r="C327" s="37" t="s">
        <v>457</v>
      </c>
      <c r="D327" s="37" t="s">
        <v>729</v>
      </c>
      <c r="E327" s="37" t="s">
        <v>730</v>
      </c>
      <c r="F327" s="34"/>
      <c r="G327" s="34"/>
      <c r="H327" s="34"/>
      <c r="I327" s="34"/>
      <c r="J327" s="34"/>
      <c r="K327" s="34"/>
      <c r="L327" s="34"/>
      <c r="M327" s="34"/>
      <c r="N327" s="34"/>
      <c r="O327" s="34"/>
      <c r="P327" s="34"/>
      <c r="Q327" s="34"/>
      <c r="R327" s="34"/>
      <c r="S327" s="34"/>
      <c r="T327" s="34"/>
      <c r="U327" s="34"/>
      <c r="V327" s="34"/>
      <c r="W327" s="34"/>
      <c r="X327" s="34"/>
      <c r="Y327" s="34"/>
      <c r="Z327" s="36"/>
      <c r="AA327" s="36"/>
      <c r="AB327" s="36"/>
      <c r="AC327" s="36"/>
      <c r="AD327" s="36"/>
      <c r="AE327" s="36"/>
      <c r="AF327" s="36"/>
      <c r="AG327" s="36"/>
      <c r="AH327" s="36"/>
    </row>
    <row r="328">
      <c r="A328" s="37" t="s">
        <v>82</v>
      </c>
      <c r="B328" s="40" t="s">
        <v>706</v>
      </c>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6"/>
      <c r="AA328" s="36"/>
      <c r="AB328" s="36"/>
      <c r="AC328" s="36"/>
      <c r="AD328" s="36"/>
      <c r="AE328" s="36"/>
      <c r="AF328" s="36"/>
      <c r="AG328" s="36"/>
      <c r="AH328" s="36"/>
    </row>
    <row r="329">
      <c r="A329" s="37" t="s">
        <v>49</v>
      </c>
      <c r="B329" s="40" t="s">
        <v>731</v>
      </c>
      <c r="C329" s="37" t="s">
        <v>210</v>
      </c>
      <c r="D329" s="37" t="s">
        <v>732</v>
      </c>
      <c r="E329" s="37" t="s">
        <v>733</v>
      </c>
      <c r="F329" s="34"/>
      <c r="G329" s="34"/>
      <c r="H329" s="34"/>
      <c r="I329" s="34"/>
      <c r="J329" s="37" t="s">
        <v>211</v>
      </c>
      <c r="K329" s="37" t="s">
        <v>58</v>
      </c>
      <c r="L329" s="34"/>
      <c r="M329" s="34"/>
      <c r="N329" s="34"/>
      <c r="O329" s="34"/>
      <c r="P329" s="34"/>
      <c r="Q329" s="34"/>
      <c r="R329" s="34"/>
      <c r="S329" s="34"/>
      <c r="T329" s="34"/>
      <c r="U329" s="34"/>
      <c r="V329" s="34"/>
      <c r="W329" s="34"/>
      <c r="X329" s="34"/>
      <c r="Y329" s="34"/>
      <c r="Z329" s="36"/>
      <c r="AA329" s="36"/>
      <c r="AB329" s="36"/>
      <c r="AC329" s="36"/>
      <c r="AD329" s="36"/>
      <c r="AE329" s="36"/>
      <c r="AF329" s="36"/>
      <c r="AG329" s="36"/>
      <c r="AH329" s="36"/>
    </row>
    <row r="330">
      <c r="A330" s="37" t="s">
        <v>38</v>
      </c>
      <c r="B330" s="40" t="s">
        <v>734</v>
      </c>
      <c r="C330" s="37" t="s">
        <v>735</v>
      </c>
      <c r="D330" s="49" t="str">
        <f>IFERROR(__xludf.DUMMYFUNCTION("GOOGLETRANSLATE(C330,""en"",""fr"")"),"Le patient présente une gastrite/un ulcère.")</f>
        <v>Le patient présente une gastrite/un ulcère.</v>
      </c>
      <c r="E330" s="49" t="str">
        <f>IFERROR(__xludf.DUMMYFUNCTION("GOOGLETRANSLATE(C330,""en"",""ht"")"),"Pasyan an gen gastrit/ilsè")</f>
        <v>Pasyan an gen gastrit/ilsè</v>
      </c>
      <c r="F330" s="34"/>
      <c r="G330" s="34"/>
      <c r="H330" s="34"/>
      <c r="I330" s="34"/>
      <c r="J330" s="34"/>
      <c r="K330" s="37" t="s">
        <v>182</v>
      </c>
      <c r="L330" s="34"/>
      <c r="M330" s="34"/>
      <c r="N330" s="34"/>
      <c r="O330" s="34"/>
      <c r="P330" s="34"/>
      <c r="Q330" s="34"/>
      <c r="R330" s="34"/>
      <c r="S330" s="34"/>
      <c r="T330" s="34"/>
      <c r="U330" s="34"/>
      <c r="V330" s="34"/>
      <c r="W330" s="34"/>
      <c r="X330" s="34"/>
      <c r="Y330" s="34"/>
      <c r="Z330" s="36"/>
      <c r="AA330" s="36"/>
      <c r="AB330" s="36"/>
      <c r="AC330" s="36"/>
      <c r="AD330" s="36"/>
      <c r="AE330" s="36"/>
      <c r="AF330" s="36"/>
      <c r="AG330" s="36"/>
      <c r="AH330" s="36"/>
    </row>
    <row r="331">
      <c r="A331" s="37" t="s">
        <v>38</v>
      </c>
      <c r="B331" s="40" t="s">
        <v>736</v>
      </c>
      <c r="C331" s="37" t="s">
        <v>737</v>
      </c>
      <c r="D331" s="49" t="str">
        <f>IFERROR(__xludf.DUMMYFUNCTION("GOOGLETRANSLATE(C331,""en"",""fr"")"),"Le patient a passé un test de dépistage d'H. pylori et a obtenu le résultat suivant : ${_h_pylori_rapid_test_result}")</f>
        <v>Le patient a passé un test de dépistage d'H. pylori et a obtenu le résultat suivant : ${_h_pylori_rapid_test_result}</v>
      </c>
      <c r="E331" s="49" t="str">
        <f>IFERROR(__xludf.DUMMYFUNCTION("GOOGLETRANSLATE(C331,""en"",""ht"")"),"Pasyan an te fè yon tès H. Pylori epi li te jwenn rezilta a: ${_h_pylori_rapid_test_result}")</f>
        <v>Pasyan an te fè yon tès H. Pylori epi li te jwenn rezilta a: ${_h_pylori_rapid_test_result}</v>
      </c>
      <c r="F331" s="34"/>
      <c r="G331" s="34"/>
      <c r="H331" s="34"/>
      <c r="I331" s="34"/>
      <c r="J331" s="34"/>
      <c r="K331" s="37"/>
      <c r="L331" s="34"/>
      <c r="M331" s="34"/>
      <c r="N331" s="34"/>
      <c r="O331" s="34"/>
      <c r="P331" s="34"/>
      <c r="Q331" s="34"/>
      <c r="R331" s="34"/>
      <c r="S331" s="34"/>
      <c r="T331" s="34"/>
      <c r="U331" s="34"/>
      <c r="V331" s="34"/>
      <c r="W331" s="34"/>
      <c r="X331" s="34"/>
      <c r="Y331" s="34"/>
      <c r="Z331" s="36"/>
      <c r="AA331" s="36"/>
      <c r="AB331" s="36"/>
      <c r="AC331" s="36"/>
      <c r="AD331" s="36"/>
      <c r="AE331" s="36"/>
      <c r="AF331" s="36"/>
      <c r="AG331" s="36"/>
      <c r="AH331" s="36"/>
    </row>
    <row r="332">
      <c r="A332" s="47" t="s">
        <v>38</v>
      </c>
      <c r="B332" s="50" t="s">
        <v>738</v>
      </c>
      <c r="C332" s="47" t="s">
        <v>739</v>
      </c>
      <c r="D332" s="51" t="str">
        <f>IFERROR(__xludf.DUMMYFUNCTION("GOOGLETRANSLATE(C332,""en"",""fr"")"),"Protocole :
- Distribuer 28 comprimés d’oméprazole 20 mg à prendre deux fois par jour pendant 14 jours.
- Distribuer 20 ml de gel Litacid à ​​prendre 30 minutes après les repas.")</f>
        <v>Protocole :
- Distribuer 28 comprimés d’oméprazole 20 mg à prendre deux fois par jour pendant 14 jours.
- Distribuer 20 ml de gel Litacid à ​​prendre 30 minutes après les repas.</v>
      </c>
      <c r="E332" s="51" t="str">
        <f>IFERROR(__xludf.DUMMYFUNCTION("GOOGLETRANSLATE(C332,""en"",""ht"")"),"Pwotokòl:
- Distribye 28 Omeprazole 20mg pou pran de fwa pa jou pandan 14 jou
- Distribye 20cc jèl Litacid pou pran 30 minit apre repa yo.")</f>
        <v>Pwotokòl:
- Distribye 28 Omeprazole 20mg pou pran de fwa pa jou pandan 14 jou
- Distribye 20cc jèl Litacid pou pran 30 minit apre repa yo.</v>
      </c>
      <c r="F332" s="52"/>
      <c r="G332" s="52"/>
      <c r="H332" s="52"/>
      <c r="I332" s="52"/>
      <c r="J332" s="47" t="s">
        <v>740</v>
      </c>
      <c r="K332" s="52"/>
      <c r="L332" s="52"/>
      <c r="M332" s="52"/>
      <c r="N332" s="52"/>
      <c r="O332" s="52"/>
      <c r="P332" s="52"/>
      <c r="Q332" s="52"/>
      <c r="R332" s="52"/>
      <c r="S332" s="52"/>
      <c r="T332" s="52"/>
      <c r="U332" s="52"/>
      <c r="V332" s="52"/>
      <c r="W332" s="52"/>
      <c r="X332" s="52"/>
      <c r="Y332" s="52"/>
      <c r="Z332" s="53"/>
      <c r="AA332" s="53"/>
      <c r="AB332" s="53"/>
      <c r="AC332" s="53"/>
      <c r="AD332" s="53"/>
      <c r="AE332" s="53"/>
      <c r="AF332" s="53"/>
      <c r="AG332" s="53"/>
      <c r="AH332" s="53"/>
    </row>
    <row r="333">
      <c r="A333" s="47" t="s">
        <v>38</v>
      </c>
      <c r="B333" s="50" t="s">
        <v>741</v>
      </c>
      <c r="C333" s="47" t="s">
        <v>742</v>
      </c>
      <c r="D333" s="51" t="str">
        <f>IFERROR(__xludf.DUMMYFUNCTION("GOOGLETRANSLATE(C333,""en"",""fr"")"),"Protocole :
- Distribuer 28 comprimés d’oméprazole 20 mg à prendre deux fois par jour pendant 14 jours.
- Distribuer 20 ml de gel de litazol à prendre 30 minutes après les repas.
- Distribuer 42 comprimés d’amoxicilline 500 mg à prendre trois fois par "&amp;"jour pendant 14 jours.
- Distribuer 42 comprimés de métronidazole 500 mg à prendre trois fois par jour pendant 14 jours.")</f>
        <v>Protocole :
- Distribuer 28 comprimés d’oméprazole 20 mg à prendre deux fois par jour pendant 14 jours.
- Distribuer 20 ml de gel de litazol à prendre 30 minutes après les repas.
- Distribuer 42 comprimés d’amoxicilline 500 mg à prendre trois fois par jour pendant 14 jours.
- Distribuer 42 comprimés de métronidazole 500 mg à prendre trois fois par jour pendant 14 jours.</v>
      </c>
      <c r="E333" s="51" t="str">
        <f>IFERROR(__xludf.DUMMYFUNCTION("GOOGLETRANSLATE(C333,""en"",""ht"")"),"Pwotokòl:
- Distribye 28 grenn Omeprazole 20mg pou pran de fwa pa jou pandan 14 jou
- Distribye 20cc jèl Litacid pou pran 30 minit apre repa yo.
- Distribye 42 grenn Amoksisilin 500mg pou pran 3 fwa pa jou pandan 14 jou
- Distribye 42 grenn Metronidazole "&amp;"500mg pou pran 3 fwa pa jou pandan 14 jou")</f>
        <v>Pwotokòl:
- Distribye 28 grenn Omeprazole 20mg pou pran de fwa pa jou pandan 14 jou
- Distribye 20cc jèl Litacid pou pran 30 minit apre repa yo.
- Distribye 42 grenn Amoksisilin 500mg pou pran 3 fwa pa jou pandan 14 jou
- Distribye 42 grenn Metronidazole 500mg pou pran 3 fwa pa jou pandan 14 jou</v>
      </c>
      <c r="F333" s="52"/>
      <c r="G333" s="52"/>
      <c r="H333" s="52"/>
      <c r="I333" s="52"/>
      <c r="J333" s="47" t="s">
        <v>743</v>
      </c>
      <c r="K333" s="52"/>
      <c r="L333" s="52"/>
      <c r="M333" s="52"/>
      <c r="N333" s="52"/>
      <c r="O333" s="52"/>
      <c r="P333" s="52"/>
      <c r="Q333" s="52"/>
      <c r="R333" s="52"/>
      <c r="S333" s="52"/>
      <c r="T333" s="52"/>
      <c r="U333" s="52"/>
      <c r="V333" s="52"/>
      <c r="W333" s="52"/>
      <c r="X333" s="52"/>
      <c r="Y333" s="52"/>
      <c r="Z333" s="53"/>
      <c r="AA333" s="53"/>
      <c r="AB333" s="53"/>
      <c r="AC333" s="53"/>
      <c r="AD333" s="53"/>
      <c r="AE333" s="53"/>
      <c r="AF333" s="53"/>
      <c r="AG333" s="53"/>
      <c r="AH333" s="53"/>
    </row>
    <row r="334">
      <c r="A334" s="37" t="s">
        <v>38</v>
      </c>
      <c r="B334" s="40" t="s">
        <v>744</v>
      </c>
      <c r="C334" s="37" t="s">
        <v>745</v>
      </c>
      <c r="D334" s="49" t="str">
        <f>IFERROR(__xludf.DUMMYFUNCTION("GOOGLETRANSLATE(C334,""en"",""fr"")"),"Conseils :
- Conseils diététiques : Évitez les épices, les fritures et les aliments qui déclenchent des symptômes, les boissons gazeuses, le café et les aliments salés. Privilégiez les petits repas fréquents. Ne mangez pas après 18 h. Buvez beaucoup d’ea"&amp;"u, même en l’absence d’appétit.")</f>
        <v>Conseils :
- Conseils diététiques : Évitez les épices, les fritures et les aliments qui déclenchent des symptômes, les boissons gazeuses, le café et les aliments salés. Privilégiez les petits repas fréquents. Ne mangez pas après 18 h. Buvez beaucoup d’eau, même en l’absence d’appétit.</v>
      </c>
      <c r="E334" s="49" t="str">
        <f>IFERROR(__xludf.DUMMYFUNCTION("GOOGLETRANSLATE(C334,""en"",""ht"")"),"Konsèy:
- Konsèy dyetetik: Pa gen epis, evite manje fri ak manje ki deklanche sentòm yo, bwason gazez, kafe ak manje sale, manje ti repa souvan, pa manje apre 6:00 PM, bwè anpil likid menm lè ou pa gen apeti.")</f>
        <v>Konsèy:
- Konsèy dyetetik: Pa gen epis, evite manje fri ak manje ki deklanche sentòm yo, bwason gazez, kafe ak manje sale, manje ti repa souvan, pa manje apre 6:00 PM, bwè anpil likid menm lè ou pa gen apeti.</v>
      </c>
      <c r="F334" s="34"/>
      <c r="G334" s="34"/>
      <c r="H334" s="34"/>
      <c r="I334" s="34"/>
      <c r="J334" s="47" t="s">
        <v>740</v>
      </c>
      <c r="K334" s="34"/>
      <c r="L334" s="34"/>
      <c r="M334" s="34"/>
      <c r="N334" s="34"/>
      <c r="O334" s="34"/>
      <c r="P334" s="34"/>
      <c r="Q334" s="34"/>
      <c r="R334" s="34"/>
      <c r="S334" s="34"/>
      <c r="T334" s="34"/>
      <c r="U334" s="34"/>
      <c r="V334" s="34"/>
      <c r="W334" s="34"/>
      <c r="X334" s="34"/>
      <c r="Y334" s="34"/>
      <c r="Z334" s="36"/>
      <c r="AA334" s="36"/>
      <c r="AB334" s="36"/>
      <c r="AC334" s="36"/>
      <c r="AD334" s="36"/>
      <c r="AE334" s="36"/>
      <c r="AF334" s="36"/>
      <c r="AG334" s="36"/>
      <c r="AH334" s="36"/>
    </row>
    <row r="335">
      <c r="A335" s="37" t="s">
        <v>38</v>
      </c>
      <c r="B335" s="40" t="s">
        <v>746</v>
      </c>
      <c r="C335" s="37" t="s">
        <v>747</v>
      </c>
      <c r="D335" s="49" t="str">
        <f>IFERROR(__xludf.DUMMYFUNCTION("GOOGLETRANSLATE(C335,""en"",""fr"")"),"Conseils :
- Conseils diététiques : Évitez les épices, les fritures et les aliments déclencheurs de symptômes, les boissons gazeuses, le café et les aliments salés. Privilégiez les petits repas fréquents et évitez de manger après 18 h. Buvez abondamment,"&amp;" même en cas de perte d’appétit.
- Informez le patient qu’il devra suivre le traitement jusqu’au bout, sous peine de récidive.
- Prévenez le patient qu’il peut avoir des nausées. Pour les atténuer, prenez le médicament pendant un repas et buvez beaucoup"&amp;".
- Informez le patient qu’il ne doit JAMAIS consommer d’alcool (bière, rhum, toute autre boisson alcoolisée) pendant la prise de ces médicaments.")</f>
        <v>Conseils :
- Conseils diététiques : Évitez les épices, les fritures et les aliments déclencheurs de symptômes, les boissons gazeuses, le café et les aliments salés. Privilégiez les petits repas fréquents et évitez de manger après 18 h. Buvez abondamment, même en cas de perte d’appétit.
- Informez le patient qu’il devra suivre le traitement jusqu’au bout, sous peine de récidive.
- Prévenez le patient qu’il peut avoir des nausées. Pour les atténuer, prenez le médicament pendant un repas et buvez beaucoup.
- Informez le patient qu’il ne doit JAMAIS consommer d’alcool (bière, rhum, toute autre boisson alcoolisée) pendant la prise de ces médicaments.</v>
      </c>
      <c r="E335" s="49" t="str">
        <f>IFERROR(__xludf.DUMMYFUNCTION("GOOGLETRANSLATE(C335,""en"",""ht"")"),"Konsèy:
- Konsèy dyetetik: Pa gen epis, evite manje fri ak manje ki deklanche sentòm yo, bwason gazez, kafe ak manje sale, manje ti repa souvan, pa manje apre 6:00 PM, bwè anpil likid menm lè ou pa gen apeti.
- Avèti pasyan an ke l ap oblije fini tretman "&amp;"konplè a osinon pwoblèm nan ap retounen.
- Avèti pasyan an ke li ka gen kè plen. Pou diminye sa, pran l pandan l ap manje, epi bwè anpil likid.
- Enfòme pasyan an pou l PA JANM bwè alkòl (byè, wonm, okenn bwason ki gen alkòl) lè l ap pran dwòg sa yo.")</f>
        <v>Konsèy:
- Konsèy dyetetik: Pa gen epis, evite manje fri ak manje ki deklanche sentòm yo, bwason gazez, kafe ak manje sale, manje ti repa souvan, pa manje apre 6:00 PM, bwè anpil likid menm lè ou pa gen apeti.
- Avèti pasyan an ke l ap oblije fini tretman konplè a osinon pwoblèm nan ap retounen.
- Avèti pasyan an ke li ka gen kè plen. Pou diminye sa, pran l pandan l ap manje, epi bwè anpil likid.
- Enfòme pasyan an pou l PA JANM bwè alkòl (byè, wonm, okenn bwason ki gen alkòl) lè l ap pran dwòg sa yo.</v>
      </c>
      <c r="F335" s="34"/>
      <c r="G335" s="34"/>
      <c r="H335" s="34"/>
      <c r="I335" s="34"/>
      <c r="J335" s="47" t="s">
        <v>743</v>
      </c>
      <c r="K335" s="34"/>
      <c r="L335" s="34"/>
      <c r="M335" s="34"/>
      <c r="N335" s="34"/>
      <c r="O335" s="34"/>
      <c r="P335" s="34"/>
      <c r="Q335" s="34"/>
      <c r="R335" s="34"/>
      <c r="S335" s="34"/>
      <c r="T335" s="34"/>
      <c r="U335" s="34"/>
      <c r="V335" s="34"/>
      <c r="W335" s="34"/>
      <c r="X335" s="34"/>
      <c r="Y335" s="34"/>
      <c r="Z335" s="36"/>
      <c r="AA335" s="36"/>
      <c r="AB335" s="36"/>
      <c r="AC335" s="36"/>
      <c r="AD335" s="36"/>
      <c r="AE335" s="36"/>
      <c r="AF335" s="36"/>
      <c r="AG335" s="36"/>
      <c r="AH335" s="36"/>
    </row>
    <row r="336">
      <c r="A336" s="37" t="s">
        <v>445</v>
      </c>
      <c r="B336" s="40" t="s">
        <v>748</v>
      </c>
      <c r="C336" s="37" t="s">
        <v>749</v>
      </c>
      <c r="D336" s="49" t="str">
        <f>IFERROR(__xludf.DUMMYFUNCTION("GOOGLETRANSLATE(C336,""en"",""fr"")"),"Avez-vous distribué 28 comprimés d'oméprazole 20 mg (traitement pour 14 jours) ?")</f>
        <v>Avez-vous distribué 28 comprimés d'oméprazole 20 mg (traitement pour 14 jours) ?</v>
      </c>
      <c r="E336" s="49" t="str">
        <f>IFERROR(__xludf.DUMMYFUNCTION("GOOGLETRANSLATE(C336,""en"",""ht"")"),"Èske ou te distribye 28 Omeprazole 20mg (pou 14 jou)?")</f>
        <v>Èske ou te distribye 28 Omeprazole 20mg (pou 14 jou)?</v>
      </c>
      <c r="F336" s="34"/>
      <c r="G336" s="34"/>
      <c r="H336" s="34"/>
      <c r="I336" s="34"/>
      <c r="J336" s="34"/>
      <c r="K336" s="34"/>
      <c r="L336" s="34"/>
      <c r="M336" s="34"/>
      <c r="N336" s="34"/>
      <c r="O336" s="34"/>
      <c r="P336" s="34"/>
      <c r="Q336" s="34"/>
      <c r="R336" s="34"/>
      <c r="S336" s="34"/>
      <c r="T336" s="34"/>
      <c r="U336" s="34"/>
      <c r="V336" s="34"/>
      <c r="W336" s="34"/>
      <c r="X336" s="34"/>
      <c r="Y336" s="34"/>
      <c r="Z336" s="36"/>
      <c r="AA336" s="36"/>
      <c r="AB336" s="36"/>
      <c r="AC336" s="36"/>
      <c r="AD336" s="36"/>
      <c r="AE336" s="36"/>
      <c r="AF336" s="36"/>
      <c r="AG336" s="36"/>
      <c r="AH336" s="36"/>
    </row>
    <row r="337">
      <c r="A337" s="37" t="s">
        <v>102</v>
      </c>
      <c r="B337" s="40" t="s">
        <v>750</v>
      </c>
      <c r="C337" s="37" t="s">
        <v>54</v>
      </c>
      <c r="D337" s="49" t="str">
        <f>IFERROR(__xludf.DUMMYFUNCTION("GOOGLETRANSLATE(C337,""en"",""fr"")"),"SANS ÉTIQUETTE")</f>
        <v>SANS ÉTIQUETTE</v>
      </c>
      <c r="E337" s="49" t="str">
        <f>IFERROR(__xludf.DUMMYFUNCTION("GOOGLETRANSLATE(C337,""en"",""ht"")"),"PA GEN_ETIKÈT")</f>
        <v>PA GEN_ETIKÈT</v>
      </c>
      <c r="F337" s="34"/>
      <c r="G337" s="34"/>
      <c r="H337" s="34"/>
      <c r="I337" s="34"/>
      <c r="J337" s="34"/>
      <c r="K337" s="34"/>
      <c r="L337" s="34"/>
      <c r="M337" s="34"/>
      <c r="N337" s="34"/>
      <c r="O337" s="34"/>
      <c r="P337" s="37"/>
      <c r="Q337" s="37" t="s">
        <v>751</v>
      </c>
      <c r="R337" s="34"/>
      <c r="S337" s="34"/>
      <c r="T337" s="34"/>
      <c r="U337" s="34"/>
      <c r="V337" s="34"/>
      <c r="W337" s="34"/>
      <c r="X337" s="34"/>
      <c r="Y337" s="34"/>
      <c r="Z337" s="36"/>
      <c r="AA337" s="36"/>
      <c r="AB337" s="36"/>
      <c r="AC337" s="36"/>
      <c r="AD337" s="36"/>
      <c r="AE337" s="36"/>
      <c r="AF337" s="36"/>
      <c r="AG337" s="36"/>
      <c r="AH337" s="36"/>
    </row>
    <row r="338">
      <c r="A338" s="37" t="s">
        <v>445</v>
      </c>
      <c r="B338" s="40" t="s">
        <v>752</v>
      </c>
      <c r="C338" s="37" t="s">
        <v>753</v>
      </c>
      <c r="D338" s="49" t="str">
        <f>IFERROR(__xludf.DUMMYFUNCTION("GOOGLETRANSLATE(C338,""en"",""fr"")"),"Avez-vous distribué 1 flacon de gel Litacid de 20 cc ?")</f>
        <v>Avez-vous distribué 1 flacon de gel Litacid de 20 cc ?</v>
      </c>
      <c r="E338" s="49" t="str">
        <f>IFERROR(__xludf.DUMMYFUNCTION("GOOGLETRANSLATE(C338,""en"",""ht"")"),"Èske ou te distribye 1 Litacid Gel 20cc?")</f>
        <v>Èske ou te distribye 1 Litacid Gel 20cc?</v>
      </c>
      <c r="F338" s="34"/>
      <c r="G338" s="34"/>
      <c r="H338" s="34"/>
      <c r="I338" s="34"/>
      <c r="J338" s="34"/>
      <c r="K338" s="34"/>
      <c r="L338" s="34"/>
      <c r="M338" s="34"/>
      <c r="N338" s="34"/>
      <c r="O338" s="34"/>
      <c r="P338" s="34"/>
      <c r="Q338" s="34"/>
      <c r="R338" s="34"/>
      <c r="S338" s="34"/>
      <c r="T338" s="34"/>
      <c r="U338" s="34"/>
      <c r="V338" s="34"/>
      <c r="W338" s="34"/>
      <c r="X338" s="34"/>
      <c r="Y338" s="34"/>
      <c r="Z338" s="36"/>
      <c r="AA338" s="36"/>
      <c r="AB338" s="36"/>
      <c r="AC338" s="36"/>
      <c r="AD338" s="36"/>
      <c r="AE338" s="36"/>
      <c r="AF338" s="36"/>
      <c r="AG338" s="36"/>
      <c r="AH338" s="36"/>
    </row>
    <row r="339">
      <c r="A339" s="37" t="s">
        <v>102</v>
      </c>
      <c r="B339" s="40" t="s">
        <v>754</v>
      </c>
      <c r="C339" s="37" t="s">
        <v>54</v>
      </c>
      <c r="D339" s="49" t="str">
        <f>IFERROR(__xludf.DUMMYFUNCTION("GOOGLETRANSLATE(C339,""en"",""fr"")"),"SANS ÉTIQUETTE")</f>
        <v>SANS ÉTIQUETTE</v>
      </c>
      <c r="E339" s="49" t="str">
        <f>IFERROR(__xludf.DUMMYFUNCTION("GOOGLETRANSLATE(C339,""en"",""ht"")"),"PA GEN_ETIKÈT")</f>
        <v>PA GEN_ETIKÈT</v>
      </c>
      <c r="F339" s="34"/>
      <c r="G339" s="34"/>
      <c r="H339" s="34"/>
      <c r="I339" s="34"/>
      <c r="J339" s="34"/>
      <c r="K339" s="34"/>
      <c r="L339" s="34"/>
      <c r="M339" s="34"/>
      <c r="N339" s="34"/>
      <c r="O339" s="34"/>
      <c r="P339" s="37"/>
      <c r="Q339" s="37" t="s">
        <v>755</v>
      </c>
      <c r="R339" s="34"/>
      <c r="S339" s="34"/>
      <c r="T339" s="34"/>
      <c r="U339" s="34"/>
      <c r="V339" s="34"/>
      <c r="W339" s="34"/>
      <c r="X339" s="34"/>
      <c r="Y339" s="34"/>
      <c r="Z339" s="36"/>
      <c r="AA339" s="36"/>
      <c r="AB339" s="36"/>
      <c r="AC339" s="36"/>
      <c r="AD339" s="36"/>
      <c r="AE339" s="36"/>
      <c r="AF339" s="36"/>
      <c r="AG339" s="36"/>
      <c r="AH339" s="36"/>
    </row>
    <row r="340">
      <c r="A340" s="37" t="s">
        <v>445</v>
      </c>
      <c r="B340" s="40" t="s">
        <v>756</v>
      </c>
      <c r="C340" s="37" t="s">
        <v>757</v>
      </c>
      <c r="D340" s="49" t="str">
        <f>IFERROR(__xludf.DUMMYFUNCTION("GOOGLETRANSLATE(C340,""en"",""fr"")"),"Avez-vous distribué 42 comprimés d'amoxicilline 500 mg ?")</f>
        <v>Avez-vous distribué 42 comprimés d'amoxicilline 500 mg ?</v>
      </c>
      <c r="E340" s="49" t="str">
        <f>IFERROR(__xludf.DUMMYFUNCTION("GOOGLETRANSLATE(C340,""en"",""ht"")"),"Èske ou te distribye 42 Amoksisilin 500mg?")</f>
        <v>Èske ou te distribye 42 Amoksisilin 500mg?</v>
      </c>
      <c r="F340" s="34"/>
      <c r="G340" s="34"/>
      <c r="H340" s="34"/>
      <c r="I340" s="34"/>
      <c r="J340" s="34"/>
      <c r="K340" s="34"/>
      <c r="L340" s="34"/>
      <c r="M340" s="34"/>
      <c r="N340" s="34"/>
      <c r="O340" s="34"/>
      <c r="P340" s="37"/>
      <c r="Q340" s="37"/>
      <c r="R340" s="34"/>
      <c r="S340" s="34"/>
      <c r="T340" s="34"/>
      <c r="U340" s="34"/>
      <c r="V340" s="34"/>
      <c r="W340" s="34"/>
      <c r="X340" s="34"/>
      <c r="Y340" s="34"/>
      <c r="Z340" s="36"/>
      <c r="AA340" s="36"/>
      <c r="AB340" s="36"/>
      <c r="AC340" s="36"/>
      <c r="AD340" s="36"/>
      <c r="AE340" s="36"/>
      <c r="AF340" s="36"/>
      <c r="AG340" s="36"/>
      <c r="AH340" s="36"/>
    </row>
    <row r="341">
      <c r="A341" s="37" t="s">
        <v>102</v>
      </c>
      <c r="B341" s="40" t="s">
        <v>758</v>
      </c>
      <c r="C341" s="37" t="s">
        <v>54</v>
      </c>
      <c r="D341" s="49" t="str">
        <f>IFERROR(__xludf.DUMMYFUNCTION("GOOGLETRANSLATE(C341,""en"",""fr"")"),"SANS ÉTIQUETTE")</f>
        <v>SANS ÉTIQUETTE</v>
      </c>
      <c r="E341" s="49" t="str">
        <f>IFERROR(__xludf.DUMMYFUNCTION("GOOGLETRANSLATE(C341,""en"",""ht"")"),"PA GEN_ETIKÈT")</f>
        <v>PA GEN_ETIKÈT</v>
      </c>
      <c r="F341" s="34"/>
      <c r="G341" s="34"/>
      <c r="H341" s="34"/>
      <c r="I341" s="34"/>
      <c r="J341" s="34"/>
      <c r="K341" s="34"/>
      <c r="L341" s="34"/>
      <c r="M341" s="34"/>
      <c r="N341" s="34"/>
      <c r="O341" s="34"/>
      <c r="P341" s="37"/>
      <c r="Q341" s="37" t="s">
        <v>759</v>
      </c>
      <c r="R341" s="34"/>
      <c r="S341" s="34"/>
      <c r="T341" s="34"/>
      <c r="U341" s="34"/>
      <c r="V341" s="34"/>
      <c r="W341" s="34"/>
      <c r="X341" s="34"/>
      <c r="Y341" s="34"/>
      <c r="Z341" s="36"/>
      <c r="AA341" s="36"/>
      <c r="AB341" s="36"/>
      <c r="AC341" s="36"/>
      <c r="AD341" s="36"/>
      <c r="AE341" s="36"/>
      <c r="AF341" s="36"/>
      <c r="AG341" s="36"/>
      <c r="AH341" s="36"/>
    </row>
    <row r="342">
      <c r="A342" s="37" t="s">
        <v>445</v>
      </c>
      <c r="B342" s="40" t="s">
        <v>760</v>
      </c>
      <c r="C342" s="37" t="s">
        <v>761</v>
      </c>
      <c r="D342" s="49" t="str">
        <f>IFERROR(__xludf.DUMMYFUNCTION("GOOGLETRANSLATE(C342,""en"",""fr"")"),"Avez-vous distribué 42 comprimés de métronidazole 500 mg ?")</f>
        <v>Avez-vous distribué 42 comprimés de métronidazole 500 mg ?</v>
      </c>
      <c r="E342" s="49" t="str">
        <f>IFERROR(__xludf.DUMMYFUNCTION("GOOGLETRANSLATE(C342,""en"",""ht"")"),"Èske ou te distribye 42 Metronidazol 500mg?")</f>
        <v>Èske ou te distribye 42 Metronidazol 500mg?</v>
      </c>
      <c r="F342" s="34"/>
      <c r="G342" s="34"/>
      <c r="H342" s="34"/>
      <c r="I342" s="34"/>
      <c r="J342" s="34"/>
      <c r="K342" s="34"/>
      <c r="L342" s="34"/>
      <c r="M342" s="34"/>
      <c r="N342" s="34"/>
      <c r="O342" s="34"/>
      <c r="P342" s="37"/>
      <c r="Q342" s="37"/>
      <c r="R342" s="34"/>
      <c r="S342" s="34"/>
      <c r="T342" s="34"/>
      <c r="U342" s="34"/>
      <c r="V342" s="34"/>
      <c r="W342" s="34"/>
      <c r="X342" s="34"/>
      <c r="Y342" s="34"/>
      <c r="Z342" s="36"/>
      <c r="AA342" s="36"/>
      <c r="AB342" s="36"/>
      <c r="AC342" s="36"/>
      <c r="AD342" s="36"/>
      <c r="AE342" s="36"/>
      <c r="AF342" s="36"/>
      <c r="AG342" s="36"/>
      <c r="AH342" s="36"/>
    </row>
    <row r="343">
      <c r="A343" s="37" t="s">
        <v>102</v>
      </c>
      <c r="B343" s="40" t="s">
        <v>762</v>
      </c>
      <c r="C343" s="37" t="s">
        <v>54</v>
      </c>
      <c r="D343" s="49" t="str">
        <f>IFERROR(__xludf.DUMMYFUNCTION("GOOGLETRANSLATE(C343,""en"",""fr"")"),"SANS ÉTIQUETTE")</f>
        <v>SANS ÉTIQUETTE</v>
      </c>
      <c r="E343" s="49" t="str">
        <f>IFERROR(__xludf.DUMMYFUNCTION("GOOGLETRANSLATE(C343,""en"",""ht"")"),"PA GEN_ETIKÈT")</f>
        <v>PA GEN_ETIKÈT</v>
      </c>
      <c r="F343" s="34"/>
      <c r="G343" s="34"/>
      <c r="H343" s="34"/>
      <c r="I343" s="34"/>
      <c r="J343" s="34"/>
      <c r="K343" s="34"/>
      <c r="L343" s="34"/>
      <c r="M343" s="34"/>
      <c r="N343" s="34"/>
      <c r="O343" s="34"/>
      <c r="P343" s="37"/>
      <c r="Q343" s="37" t="s">
        <v>763</v>
      </c>
      <c r="R343" s="34"/>
      <c r="S343" s="34"/>
      <c r="T343" s="34"/>
      <c r="U343" s="34"/>
      <c r="V343" s="34"/>
      <c r="W343" s="34"/>
      <c r="X343" s="34"/>
      <c r="Y343" s="34"/>
      <c r="Z343" s="36"/>
      <c r="AA343" s="36"/>
      <c r="AB343" s="36"/>
      <c r="AC343" s="36"/>
      <c r="AD343" s="36"/>
      <c r="AE343" s="36"/>
      <c r="AF343" s="36"/>
      <c r="AG343" s="36"/>
      <c r="AH343" s="36"/>
    </row>
    <row r="344">
      <c r="A344" s="37" t="s">
        <v>451</v>
      </c>
      <c r="B344" s="40" t="s">
        <v>764</v>
      </c>
      <c r="C344" s="37" t="s">
        <v>453</v>
      </c>
      <c r="D344" s="49" t="str">
        <f>IFERROR(__xludf.DUMMYFUNCTION("GOOGLETRANSLATE(C344,""en"",""fr"")"),"Vous avez laissé au moins une confirmation de médicament vide. Si cela est intentionnel, veuillez indiquer pourquoi ci-dessous.")</f>
        <v>Vous avez laissé au moins une confirmation de médicament vide. Si cela est intentionnel, veuillez indiquer pourquoi ci-dessous.</v>
      </c>
      <c r="E344" s="49" t="str">
        <f>IFERROR(__xludf.DUMMYFUNCTION("GOOGLETRANSLATE(C344,""en"",""ht"")"),"Ou kite omwen yon konfimasyon medikaman vid. Si se espre, ekri poukisa anba a.")</f>
        <v>Ou kite omwen yon konfimasyon medikaman vid. Si se espre, ekri poukisa anba a.</v>
      </c>
      <c r="F344" s="37" t="s">
        <v>454</v>
      </c>
      <c r="G344" s="49" t="str">
        <f>IFERROR(__xludf.DUMMYFUNCTION("GOOGLETRANSLATE(F344,""en"",""fr"")"),"Si vous avez distribué une quantité différente de médicaments, notez combien.")</f>
        <v>Si vous avez distribué une quantité différente de médicaments, notez combien.</v>
      </c>
      <c r="H344" s="49" t="str">
        <f>IFERROR(__xludf.DUMMYFUNCTION("GOOGLETRANSLATE(F344,""en"",""ht"")"),"Si ou te distribye yon kantite dwòg diferan, anrejistre konbyen.")</f>
        <v>Si ou te distribye yon kantite dwòg diferan, anrejistre konbyen.</v>
      </c>
      <c r="I344" s="37" t="s">
        <v>68</v>
      </c>
      <c r="J344" s="37" t="s">
        <v>765</v>
      </c>
      <c r="K344" s="34"/>
      <c r="L344" s="34"/>
      <c r="M344" s="34"/>
      <c r="N344" s="34"/>
      <c r="O344" s="34"/>
      <c r="P344" s="34"/>
      <c r="Q344" s="34"/>
      <c r="R344" s="34"/>
      <c r="S344" s="34"/>
      <c r="T344" s="34"/>
      <c r="U344" s="34"/>
      <c r="V344" s="34"/>
      <c r="W344" s="34"/>
      <c r="X344" s="34"/>
      <c r="Y344" s="34"/>
      <c r="Z344" s="36"/>
      <c r="AA344" s="36"/>
      <c r="AB344" s="36"/>
      <c r="AC344" s="36"/>
      <c r="AD344" s="36"/>
      <c r="AE344" s="36"/>
      <c r="AF344" s="36"/>
      <c r="AG344" s="36"/>
      <c r="AH344" s="36"/>
    </row>
    <row r="345">
      <c r="A345" s="37" t="s">
        <v>451</v>
      </c>
      <c r="B345" s="40" t="s">
        <v>766</v>
      </c>
      <c r="C345" s="37" t="s">
        <v>457</v>
      </c>
      <c r="D345" s="49" t="str">
        <f>IFERROR(__xludf.DUMMYFUNCTION("GOOGLETRANSLATE(C345,""en"",""fr"")"),"Notes cliniques :")</f>
        <v>Notes cliniques :</v>
      </c>
      <c r="E345" s="49" t="str">
        <f>IFERROR(__xludf.DUMMYFUNCTION("GOOGLETRANSLATE(C345,""en"",""ht"")"),"Nòt klinik:")</f>
        <v>Nòt klinik:</v>
      </c>
      <c r="F345" s="34"/>
      <c r="G345" s="34"/>
      <c r="H345" s="34"/>
      <c r="I345" s="34"/>
      <c r="J345" s="34"/>
      <c r="K345" s="34"/>
      <c r="L345" s="34"/>
      <c r="M345" s="34"/>
      <c r="N345" s="34"/>
      <c r="O345" s="34"/>
      <c r="P345" s="34"/>
      <c r="Q345" s="34"/>
      <c r="R345" s="34"/>
      <c r="S345" s="34"/>
      <c r="T345" s="34"/>
      <c r="U345" s="34"/>
      <c r="V345" s="34"/>
      <c r="W345" s="34"/>
      <c r="X345" s="34"/>
      <c r="Y345" s="34"/>
      <c r="Z345" s="36"/>
      <c r="AA345" s="36"/>
      <c r="AB345" s="36"/>
      <c r="AC345" s="36"/>
      <c r="AD345" s="36"/>
      <c r="AE345" s="36"/>
      <c r="AF345" s="36"/>
      <c r="AG345" s="36"/>
      <c r="AH345" s="36"/>
    </row>
    <row r="346">
      <c r="A346" s="37" t="s">
        <v>82</v>
      </c>
      <c r="B346" s="40" t="s">
        <v>731</v>
      </c>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6"/>
      <c r="AA346" s="36"/>
      <c r="AB346" s="36"/>
      <c r="AC346" s="36"/>
      <c r="AD346" s="36"/>
      <c r="AE346" s="36"/>
      <c r="AF346" s="36"/>
      <c r="AG346" s="36"/>
      <c r="AH346" s="36"/>
    </row>
    <row r="347">
      <c r="A347" s="37" t="s">
        <v>49</v>
      </c>
      <c r="B347" s="40" t="s">
        <v>767</v>
      </c>
      <c r="C347" s="37" t="s">
        <v>231</v>
      </c>
      <c r="D347" s="37" t="s">
        <v>768</v>
      </c>
      <c r="E347" s="37" t="s">
        <v>769</v>
      </c>
      <c r="F347" s="34"/>
      <c r="G347" s="34"/>
      <c r="H347" s="34"/>
      <c r="I347" s="34"/>
      <c r="J347" s="37" t="s">
        <v>232</v>
      </c>
      <c r="K347" s="37" t="s">
        <v>58</v>
      </c>
      <c r="L347" s="34"/>
      <c r="M347" s="34"/>
      <c r="N347" s="34"/>
      <c r="O347" s="34"/>
      <c r="P347" s="34"/>
      <c r="Q347" s="34"/>
      <c r="R347" s="34"/>
      <c r="S347" s="34"/>
      <c r="T347" s="34"/>
      <c r="U347" s="34"/>
      <c r="V347" s="34"/>
      <c r="W347" s="34"/>
      <c r="X347" s="34"/>
      <c r="Y347" s="34"/>
      <c r="Z347" s="36"/>
      <c r="AA347" s="36"/>
      <c r="AB347" s="36"/>
      <c r="AC347" s="36"/>
      <c r="AD347" s="36"/>
      <c r="AE347" s="36"/>
      <c r="AF347" s="36"/>
      <c r="AG347" s="36"/>
      <c r="AH347" s="36"/>
    </row>
    <row r="348">
      <c r="A348" s="37" t="s">
        <v>38</v>
      </c>
      <c r="B348" s="40" t="s">
        <v>770</v>
      </c>
      <c r="C348" s="37" t="s">
        <v>771</v>
      </c>
      <c r="D348" s="49" t="str">
        <f>IFERROR(__xludf.DUMMYFUNCTION("GOOGLETRANSLATE(C348,""en"",""fr"")"),"Le patient présente une possible infection à amibes ou à Giardia.")</f>
        <v>Le patient présente une possible infection à amibes ou à Giardia.</v>
      </c>
      <c r="E348" s="49" t="str">
        <f>IFERROR(__xludf.DUMMYFUNCTION("GOOGLETRANSLATE(C348,""en"",""ht"")"),"Pasyan an gen posiblite pou l gen enfeksyon Ameba oswa Giardia.")</f>
        <v>Pasyan an gen posiblite pou l gen enfeksyon Ameba oswa Giardia.</v>
      </c>
      <c r="F348" s="34"/>
      <c r="G348" s="34"/>
      <c r="H348" s="34"/>
      <c r="I348" s="34"/>
      <c r="J348" s="34"/>
      <c r="K348" s="37" t="s">
        <v>182</v>
      </c>
      <c r="L348" s="34"/>
      <c r="M348" s="34"/>
      <c r="N348" s="34"/>
      <c r="O348" s="34"/>
      <c r="P348" s="34"/>
      <c r="Q348" s="34"/>
      <c r="R348" s="34"/>
      <c r="S348" s="34"/>
      <c r="T348" s="34"/>
      <c r="U348" s="34"/>
      <c r="V348" s="34"/>
      <c r="W348" s="34"/>
      <c r="X348" s="34"/>
      <c r="Y348" s="34"/>
      <c r="Z348" s="36"/>
      <c r="AA348" s="36"/>
      <c r="AB348" s="36"/>
      <c r="AC348" s="36"/>
      <c r="AD348" s="36"/>
      <c r="AE348" s="36"/>
      <c r="AF348" s="36"/>
      <c r="AG348" s="36"/>
      <c r="AH348" s="36"/>
    </row>
    <row r="349">
      <c r="A349" s="37" t="s">
        <v>38</v>
      </c>
      <c r="B349" s="40" t="s">
        <v>772</v>
      </c>
      <c r="C349" s="37" t="s">
        <v>773</v>
      </c>
      <c r="D349" s="49" t="str">
        <f>IFERROR(__xludf.DUMMYFUNCTION("GOOGLETRANSLATE(C349,""en"",""fr"")"),"Protocole :
- Si disponible, distribuer 12 comprimés de tinidazole 500 mg, à raison de 4 comprimés une fois par jour pendant 3 jours.
- Si le tinidazole n’est pas disponible, distribuer 15 comprimés de métronidazole 500 mg, à raison de 3 comprimés trois"&amp;" fois par jour pendant 5 jours.")</f>
        <v>Protocole :
- Si disponible, distribuer 12 comprimés de tinidazole 500 mg, à raison de 4 comprimés une fois par jour pendant 3 jours.
- Si le tinidazole n’est pas disponible, distribuer 15 comprimés de métronidazole 500 mg, à raison de 3 comprimés trois fois par jour pendant 5 jours.</v>
      </c>
      <c r="E349" s="49" t="str">
        <f>IFERROR(__xludf.DUMMYFUNCTION("GOOGLETRANSLATE(C349,""en"",""ht"")"),"Pwotokòl:
- Si genyen, distribye 12 grenn Tinidazol 500mg pou pran 4 grenn yon fwa pa jou pandan 3 jou
- Si pa genyen Tinidazol, distribye 15 grenn Metronidazol 500mg pou pran 3 fwa pa jou pandan 5 jou")</f>
        <v>Pwotokòl:
- Si genyen, distribye 12 grenn Tinidazol 500mg pou pran 4 grenn yon fwa pa jou pandan 3 jou
- Si pa genyen Tinidazol, distribye 15 grenn Metronidazol 500mg pou pran 3 fwa pa jou pandan 5 jou</v>
      </c>
      <c r="F349" s="34"/>
      <c r="G349" s="34"/>
      <c r="H349" s="34"/>
      <c r="I349" s="34"/>
      <c r="J349" s="34"/>
      <c r="K349" s="34"/>
      <c r="L349" s="34"/>
      <c r="M349" s="34"/>
      <c r="N349" s="34"/>
      <c r="O349" s="34"/>
      <c r="P349" s="34"/>
      <c r="Q349" s="34"/>
      <c r="R349" s="34"/>
      <c r="S349" s="34"/>
      <c r="T349" s="34"/>
      <c r="U349" s="34"/>
      <c r="V349" s="34"/>
      <c r="W349" s="34"/>
      <c r="X349" s="34"/>
      <c r="Y349" s="34"/>
      <c r="Z349" s="36"/>
      <c r="AA349" s="36"/>
      <c r="AB349" s="36"/>
      <c r="AC349" s="36"/>
      <c r="AD349" s="36"/>
      <c r="AE349" s="36"/>
      <c r="AF349" s="36"/>
      <c r="AG349" s="36"/>
      <c r="AH349" s="36"/>
    </row>
    <row r="350">
      <c r="A350" s="37" t="s">
        <v>38</v>
      </c>
      <c r="B350" s="40" t="s">
        <v>774</v>
      </c>
      <c r="C350" s="37" t="s">
        <v>444</v>
      </c>
      <c r="D350" s="49" t="str">
        <f>IFERROR(__xludf.DUMMYFUNCTION("GOOGLETRANSLATE(C350,""en"",""fr"")"),"Accompagnement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50" s="49" t="str">
        <f>IFERROR(__xludf.DUMMYFUNCTION("GOOGLETRANSLATE(C350,""en"",""ht"")"),"Konsèy:
- (Konsèy TODO pa bay nan pwotokòl swen yo - ajoute kòm espas vid pou fidbak enfimyè yo)")</f>
        <v>Konsèy:
- (Konsèy TODO pa bay nan pwotokòl swen yo - ajoute kòm espas vid pou fidbak enfimyè yo)</v>
      </c>
      <c r="F350" s="34"/>
      <c r="G350" s="34"/>
      <c r="H350" s="34"/>
      <c r="I350" s="34"/>
      <c r="J350" s="34"/>
      <c r="K350" s="34"/>
      <c r="L350" s="34"/>
      <c r="M350" s="34"/>
      <c r="N350" s="34"/>
      <c r="O350" s="34"/>
      <c r="P350" s="34"/>
      <c r="Q350" s="34"/>
      <c r="R350" s="34"/>
      <c r="S350" s="34"/>
      <c r="T350" s="34"/>
      <c r="U350" s="34"/>
      <c r="V350" s="34"/>
      <c r="W350" s="34"/>
      <c r="X350" s="34"/>
      <c r="Y350" s="34"/>
      <c r="Z350" s="36"/>
      <c r="AA350" s="36"/>
      <c r="AB350" s="36"/>
      <c r="AC350" s="36"/>
      <c r="AD350" s="36"/>
      <c r="AE350" s="36"/>
      <c r="AF350" s="36"/>
      <c r="AG350" s="36"/>
      <c r="AH350" s="36"/>
    </row>
    <row r="351">
      <c r="A351" s="37" t="s">
        <v>639</v>
      </c>
      <c r="B351" s="40" t="s">
        <v>775</v>
      </c>
      <c r="C351" s="37" t="s">
        <v>776</v>
      </c>
      <c r="D351" s="49" t="str">
        <f>IFERROR(__xludf.DUMMYFUNCTION("GOOGLETRANSLATE(C351,""en"",""fr"")"),"Êtes-vous en mesure de distribuer du tinidazole 500 mg ?")</f>
        <v>Êtes-vous en mesure de distribuer du tinidazole 500 mg ?</v>
      </c>
      <c r="E351" s="49" t="str">
        <f>IFERROR(__xludf.DUMMYFUNCTION("GOOGLETRANSLATE(C351,""en"",""ht"")"),"Èske ou kapab distribye Tinidazole 500mg?")</f>
        <v>Èske ou kapab distribye Tinidazole 500mg?</v>
      </c>
      <c r="F351" s="34"/>
      <c r="G351" s="34"/>
      <c r="H351" s="34"/>
      <c r="I351" s="37" t="s">
        <v>68</v>
      </c>
      <c r="J351" s="34"/>
      <c r="K351" s="34"/>
      <c r="L351" s="34"/>
      <c r="M351" s="34"/>
      <c r="N351" s="34"/>
      <c r="O351" s="34"/>
      <c r="P351" s="34"/>
      <c r="Q351" s="34"/>
      <c r="R351" s="34"/>
      <c r="S351" s="34"/>
      <c r="T351" s="34"/>
      <c r="U351" s="34"/>
      <c r="V351" s="34"/>
      <c r="W351" s="34"/>
      <c r="X351" s="34"/>
      <c r="Y351" s="34"/>
      <c r="Z351" s="36"/>
      <c r="AA351" s="36"/>
      <c r="AB351" s="36"/>
      <c r="AC351" s="36"/>
      <c r="AD351" s="36"/>
      <c r="AE351" s="36"/>
      <c r="AF351" s="36"/>
      <c r="AG351" s="36"/>
      <c r="AH351" s="36"/>
    </row>
    <row r="352">
      <c r="A352" s="37" t="s">
        <v>445</v>
      </c>
      <c r="B352" s="40" t="s">
        <v>777</v>
      </c>
      <c r="C352" s="37" t="s">
        <v>778</v>
      </c>
      <c r="D352" s="49" t="str">
        <f>IFERROR(__xludf.DUMMYFUNCTION("GOOGLETRANSLATE(C352,""en"",""fr"")"),"Avez-vous distribué 12 comprimés de Tinidazole 500 mg ?")</f>
        <v>Avez-vous distribué 12 comprimés de Tinidazole 500 mg ?</v>
      </c>
      <c r="E352" s="49" t="str">
        <f>IFERROR(__xludf.DUMMYFUNCTION("GOOGLETRANSLATE(C352,""en"",""ht"")"),"Èske ou te distribye 12 Tinidazole 500mg?")</f>
        <v>Èske ou te distribye 12 Tinidazole 500mg?</v>
      </c>
      <c r="F352" s="34"/>
      <c r="G352" s="34"/>
      <c r="H352" s="34"/>
      <c r="I352" s="34"/>
      <c r="J352" s="37" t="s">
        <v>779</v>
      </c>
      <c r="K352" s="34"/>
      <c r="L352" s="34"/>
      <c r="M352" s="34"/>
      <c r="N352" s="34"/>
      <c r="O352" s="34"/>
      <c r="P352" s="34"/>
      <c r="Q352" s="34"/>
      <c r="R352" s="34"/>
      <c r="S352" s="34"/>
      <c r="T352" s="34"/>
      <c r="U352" s="34"/>
      <c r="V352" s="34"/>
      <c r="W352" s="34"/>
      <c r="X352" s="34"/>
      <c r="Y352" s="34"/>
      <c r="Z352" s="36"/>
      <c r="AA352" s="36"/>
      <c r="AB352" s="36"/>
      <c r="AC352" s="36"/>
      <c r="AD352" s="36"/>
      <c r="AE352" s="36"/>
      <c r="AF352" s="36"/>
      <c r="AG352" s="36"/>
      <c r="AH352" s="36"/>
    </row>
    <row r="353">
      <c r="A353" s="37" t="s">
        <v>102</v>
      </c>
      <c r="B353" s="40" t="s">
        <v>780</v>
      </c>
      <c r="C353" s="37" t="s">
        <v>54</v>
      </c>
      <c r="D353" s="49" t="str">
        <f>IFERROR(__xludf.DUMMYFUNCTION("GOOGLETRANSLATE(C353,""en"",""fr"")"),"SANS ÉTIQUETTE")</f>
        <v>SANS ÉTIQUETTE</v>
      </c>
      <c r="E353" s="49" t="str">
        <f>IFERROR(__xludf.DUMMYFUNCTION("GOOGLETRANSLATE(C353,""en"",""ht"")"),"PA GEN_ETIKÈT")</f>
        <v>PA GEN_ETIKÈT</v>
      </c>
      <c r="F353" s="34"/>
      <c r="G353" s="34"/>
      <c r="H353" s="34"/>
      <c r="I353" s="34"/>
      <c r="J353" s="37"/>
      <c r="K353" s="34"/>
      <c r="L353" s="34"/>
      <c r="M353" s="34"/>
      <c r="N353" s="34"/>
      <c r="O353" s="34"/>
      <c r="P353" s="34"/>
      <c r="Q353" s="37" t="s">
        <v>781</v>
      </c>
      <c r="R353" s="34"/>
      <c r="S353" s="34"/>
      <c r="T353" s="34"/>
      <c r="U353" s="34"/>
      <c r="V353" s="34"/>
      <c r="W353" s="34"/>
      <c r="X353" s="34"/>
      <c r="Y353" s="34"/>
      <c r="Z353" s="36"/>
      <c r="AA353" s="36"/>
      <c r="AB353" s="36"/>
      <c r="AC353" s="36"/>
      <c r="AD353" s="36"/>
      <c r="AE353" s="36"/>
      <c r="AF353" s="36"/>
      <c r="AG353" s="36"/>
      <c r="AH353" s="36"/>
    </row>
    <row r="354">
      <c r="A354" s="37" t="s">
        <v>445</v>
      </c>
      <c r="B354" s="40" t="s">
        <v>782</v>
      </c>
      <c r="C354" s="37" t="s">
        <v>783</v>
      </c>
      <c r="D354" s="49" t="str">
        <f>IFERROR(__xludf.DUMMYFUNCTION("GOOGLETRANSLATE(C354,""en"",""fr"")"),"Avez-vous distribué 15 comprimés de métronidazole 500 mg ?")</f>
        <v>Avez-vous distribué 15 comprimés de métronidazole 500 mg ?</v>
      </c>
      <c r="E354" s="49" t="str">
        <f>IFERROR(__xludf.DUMMYFUNCTION("GOOGLETRANSLATE(C354,""en"",""ht"")"),"Èske ou te distribye 15 Metronidazol 500mg?")</f>
        <v>Èske ou te distribye 15 Metronidazol 500mg?</v>
      </c>
      <c r="F354" s="34"/>
      <c r="G354" s="34"/>
      <c r="H354" s="34"/>
      <c r="I354" s="34"/>
      <c r="J354" s="37" t="s">
        <v>784</v>
      </c>
      <c r="K354" s="34"/>
      <c r="L354" s="34"/>
      <c r="M354" s="34"/>
      <c r="N354" s="34"/>
      <c r="O354" s="34"/>
      <c r="P354" s="34"/>
      <c r="Q354" s="34"/>
      <c r="R354" s="34"/>
      <c r="S354" s="34"/>
      <c r="T354" s="34"/>
      <c r="U354" s="34"/>
      <c r="V354" s="34"/>
      <c r="W354" s="34"/>
      <c r="X354" s="34"/>
      <c r="Y354" s="34"/>
      <c r="Z354" s="36"/>
      <c r="AA354" s="36"/>
      <c r="AB354" s="36"/>
      <c r="AC354" s="36"/>
      <c r="AD354" s="36"/>
      <c r="AE354" s="36"/>
      <c r="AF354" s="36"/>
      <c r="AG354" s="36"/>
      <c r="AH354" s="36"/>
    </row>
    <row r="355">
      <c r="A355" s="37" t="s">
        <v>102</v>
      </c>
      <c r="B355" s="40" t="s">
        <v>785</v>
      </c>
      <c r="C355" s="37" t="s">
        <v>54</v>
      </c>
      <c r="D355" s="49" t="str">
        <f>IFERROR(__xludf.DUMMYFUNCTION("GOOGLETRANSLATE(C355,""en"",""fr"")"),"SANS ÉTIQUETTE")</f>
        <v>SANS ÉTIQUETTE</v>
      </c>
      <c r="E355" s="49" t="str">
        <f>IFERROR(__xludf.DUMMYFUNCTION("GOOGLETRANSLATE(C355,""en"",""ht"")"),"PA GEN_ETIKÈT")</f>
        <v>PA GEN_ETIKÈT</v>
      </c>
      <c r="F355" s="34"/>
      <c r="G355" s="34"/>
      <c r="H355" s="34"/>
      <c r="I355" s="34"/>
      <c r="J355" s="34"/>
      <c r="K355" s="34"/>
      <c r="L355" s="34"/>
      <c r="M355" s="34"/>
      <c r="N355" s="34"/>
      <c r="O355" s="34"/>
      <c r="P355" s="37"/>
      <c r="Q355" s="37" t="s">
        <v>786</v>
      </c>
      <c r="R355" s="34"/>
      <c r="S355" s="34"/>
      <c r="T355" s="34"/>
      <c r="U355" s="34"/>
      <c r="V355" s="34"/>
      <c r="W355" s="34"/>
      <c r="X355" s="34"/>
      <c r="Y355" s="34"/>
      <c r="Z355" s="36"/>
      <c r="AA355" s="36"/>
      <c r="AB355" s="36"/>
      <c r="AC355" s="36"/>
      <c r="AD355" s="36"/>
      <c r="AE355" s="36"/>
      <c r="AF355" s="36"/>
      <c r="AG355" s="36"/>
      <c r="AH355" s="36"/>
    </row>
    <row r="356">
      <c r="A356" s="37" t="s">
        <v>451</v>
      </c>
      <c r="B356" s="40" t="s">
        <v>787</v>
      </c>
      <c r="C356" s="37" t="s">
        <v>453</v>
      </c>
      <c r="D356" s="49" t="str">
        <f>IFERROR(__xludf.DUMMYFUNCTION("GOOGLETRANSLATE(C356,""en"",""fr"")"),"Vous avez laissé au moins une confirmation de médicament vide. Si cela est intentionnel, veuillez indiquer pourquoi ci-dessous.")</f>
        <v>Vous avez laissé au moins une confirmation de médicament vide. Si cela est intentionnel, veuillez indiquer pourquoi ci-dessous.</v>
      </c>
      <c r="E356" s="49" t="str">
        <f>IFERROR(__xludf.DUMMYFUNCTION("GOOGLETRANSLATE(C356,""en"",""ht"")"),"Ou kite omwen yon konfimasyon medikaman vid. Si se espre, ekri poukisa anba a.")</f>
        <v>Ou kite omwen yon konfimasyon medikaman vid. Si se espre, ekri poukisa anba a.</v>
      </c>
      <c r="F356" s="37" t="s">
        <v>454</v>
      </c>
      <c r="G356" s="49" t="str">
        <f>IFERROR(__xludf.DUMMYFUNCTION("GOOGLETRANSLATE(F356,""en"",""fr"")"),"Si vous avez distribué une quantité différente de médicaments, notez combien.")</f>
        <v>Si vous avez distribué une quantité différente de médicaments, notez combien.</v>
      </c>
      <c r="H356" s="49" t="str">
        <f>IFERROR(__xludf.DUMMYFUNCTION("GOOGLETRANSLATE(F356,""en"",""ht"")"),"Si ou te distribye yon kantite dwòg diferan, anrejistre konbyen.")</f>
        <v>Si ou te distribye yon kantite dwòg diferan, anrejistre konbyen.</v>
      </c>
      <c r="I356" s="37" t="s">
        <v>68</v>
      </c>
      <c r="J356" s="37" t="s">
        <v>788</v>
      </c>
      <c r="K356" s="34"/>
      <c r="L356" s="34"/>
      <c r="M356" s="34"/>
      <c r="N356" s="34"/>
      <c r="O356" s="34"/>
      <c r="Q356" s="34"/>
      <c r="R356" s="34"/>
      <c r="S356" s="34"/>
      <c r="T356" s="34"/>
      <c r="U356" s="34"/>
      <c r="V356" s="34"/>
      <c r="W356" s="34"/>
      <c r="X356" s="34"/>
      <c r="Y356" s="34"/>
      <c r="Z356" s="36"/>
      <c r="AA356" s="36"/>
      <c r="AB356" s="36"/>
      <c r="AC356" s="36"/>
      <c r="AD356" s="36"/>
      <c r="AE356" s="36"/>
      <c r="AF356" s="36"/>
      <c r="AG356" s="36"/>
      <c r="AH356" s="36"/>
    </row>
    <row r="357">
      <c r="A357" s="37" t="s">
        <v>451</v>
      </c>
      <c r="B357" s="40" t="s">
        <v>789</v>
      </c>
      <c r="C357" s="37" t="s">
        <v>457</v>
      </c>
      <c r="D357" s="49" t="str">
        <f>IFERROR(__xludf.DUMMYFUNCTION("GOOGLETRANSLATE(C357,""en"",""fr"")"),"Notes cliniques :")</f>
        <v>Notes cliniques :</v>
      </c>
      <c r="E357" s="49" t="str">
        <f>IFERROR(__xludf.DUMMYFUNCTION("GOOGLETRANSLATE(C357,""en"",""ht"")"),"Nòt klinik:")</f>
        <v>Nòt klinik:</v>
      </c>
      <c r="F357" s="34"/>
      <c r="G357" s="34"/>
      <c r="H357" s="34"/>
      <c r="I357" s="34"/>
      <c r="J357" s="34"/>
      <c r="K357" s="34"/>
      <c r="L357" s="34"/>
      <c r="M357" s="34"/>
      <c r="N357" s="34"/>
      <c r="O357" s="34"/>
      <c r="P357" s="34"/>
      <c r="Q357" s="34"/>
      <c r="R357" s="34"/>
      <c r="S357" s="34"/>
      <c r="T357" s="34"/>
      <c r="U357" s="34"/>
      <c r="V357" s="34"/>
      <c r="W357" s="34"/>
      <c r="X357" s="34"/>
      <c r="Y357" s="34"/>
      <c r="Z357" s="36"/>
      <c r="AA357" s="36"/>
      <c r="AB357" s="36"/>
      <c r="AC357" s="36"/>
      <c r="AD357" s="36"/>
      <c r="AE357" s="36"/>
      <c r="AF357" s="36"/>
      <c r="AG357" s="36"/>
      <c r="AH357" s="36"/>
    </row>
    <row r="358">
      <c r="A358" s="37" t="s">
        <v>82</v>
      </c>
      <c r="B358" s="40" t="s">
        <v>767</v>
      </c>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6"/>
      <c r="AA358" s="36"/>
      <c r="AB358" s="36"/>
      <c r="AC358" s="36"/>
      <c r="AD358" s="36"/>
      <c r="AE358" s="36"/>
      <c r="AF358" s="36"/>
      <c r="AG358" s="36"/>
      <c r="AH358" s="36"/>
    </row>
    <row r="359">
      <c r="A359" s="37" t="s">
        <v>49</v>
      </c>
      <c r="B359" s="40" t="s">
        <v>790</v>
      </c>
      <c r="C359" s="37" t="s">
        <v>224</v>
      </c>
      <c r="D359" s="49" t="str">
        <f>IFERROR(__xludf.DUMMYFUNCTION("GOOGLETRANSLATE(C359,""en"",""fr"")"),"Diarrhée aiguë")</f>
        <v>Diarrhée aiguë</v>
      </c>
      <c r="E359" s="49" t="str">
        <f>IFERROR(__xludf.DUMMYFUNCTION("GOOGLETRANSLATE(C359,""en"",""ht"")"),"Dyare egi")</f>
        <v>Dyare egi</v>
      </c>
      <c r="F359" s="34"/>
      <c r="G359" s="34"/>
      <c r="H359" s="34"/>
      <c r="I359" s="34"/>
      <c r="J359" s="37" t="s">
        <v>225</v>
      </c>
      <c r="K359" s="37" t="s">
        <v>58</v>
      </c>
      <c r="L359" s="34"/>
      <c r="M359" s="34"/>
      <c r="N359" s="34"/>
      <c r="O359" s="34"/>
      <c r="P359" s="34"/>
      <c r="Q359" s="34"/>
      <c r="R359" s="34"/>
      <c r="S359" s="34"/>
      <c r="T359" s="34"/>
      <c r="U359" s="34"/>
      <c r="V359" s="34"/>
      <c r="W359" s="34"/>
      <c r="X359" s="34"/>
      <c r="Y359" s="34"/>
      <c r="Z359" s="36"/>
      <c r="AA359" s="36"/>
      <c r="AB359" s="36"/>
      <c r="AC359" s="36"/>
      <c r="AD359" s="36"/>
      <c r="AE359" s="36"/>
      <c r="AF359" s="36"/>
      <c r="AG359" s="36"/>
      <c r="AH359" s="36"/>
    </row>
    <row r="360">
      <c r="A360" s="37" t="s">
        <v>38</v>
      </c>
      <c r="B360" s="40" t="s">
        <v>791</v>
      </c>
      <c r="C360" s="37" t="s">
        <v>792</v>
      </c>
      <c r="D360" s="49" t="str">
        <f>IFERROR(__xludf.DUMMYFUNCTION("GOOGLETRANSLATE(C360,""en"",""fr"")"),"Le patient présente une diarrhée aiguë.")</f>
        <v>Le patient présente une diarrhée aiguë.</v>
      </c>
      <c r="E360" s="49" t="str">
        <f>IFERROR(__xludf.DUMMYFUNCTION("GOOGLETRANSLATE(C360,""en"",""ht"")"),"Pasyan an gen dyare egi")</f>
        <v>Pasyan an gen dyare egi</v>
      </c>
      <c r="F360" s="34"/>
      <c r="G360" s="34"/>
      <c r="H360" s="34"/>
      <c r="I360" s="34"/>
      <c r="J360" s="34"/>
      <c r="K360" s="37" t="s">
        <v>182</v>
      </c>
      <c r="L360" s="34"/>
      <c r="M360" s="34"/>
      <c r="N360" s="34"/>
      <c r="O360" s="34"/>
      <c r="P360" s="34"/>
      <c r="Q360" s="34"/>
      <c r="R360" s="34"/>
      <c r="S360" s="34"/>
      <c r="T360" s="34"/>
      <c r="U360" s="34"/>
      <c r="V360" s="34"/>
      <c r="W360" s="34"/>
      <c r="X360" s="34"/>
      <c r="Y360" s="34"/>
      <c r="Z360" s="36"/>
      <c r="AA360" s="36"/>
      <c r="AB360" s="36"/>
      <c r="AC360" s="36"/>
      <c r="AD360" s="36"/>
      <c r="AE360" s="36"/>
      <c r="AF360" s="36"/>
      <c r="AG360" s="36"/>
      <c r="AH360" s="36"/>
    </row>
    <row r="361">
      <c r="A361" s="37" t="s">
        <v>38</v>
      </c>
      <c r="B361" s="40" t="s">
        <v>793</v>
      </c>
      <c r="C361" s="37" t="s">
        <v>794</v>
      </c>
      <c r="D361" s="49" t="str">
        <f>IFERROR(__xludf.DUMMYFUNCTION("GOOGLETRANSLATE(C361,""en"",""fr"")"),"Protocole :
- Administrer le SRO")</f>
        <v>Protocole :
- Administrer le SRO</v>
      </c>
      <c r="E361" s="49" t="str">
        <f>IFERROR(__xludf.DUMMYFUNCTION("GOOGLETRANSLATE(C361,""en"",""ht"")"),"Pwotokòl:
- Administre ORS")</f>
        <v>Pwotokòl:
- Administre ORS</v>
      </c>
      <c r="F361" s="34"/>
      <c r="G361" s="34"/>
      <c r="H361" s="34"/>
      <c r="I361" s="34"/>
      <c r="J361" s="34"/>
      <c r="K361" s="34"/>
      <c r="L361" s="34"/>
      <c r="M361" s="34"/>
      <c r="N361" s="34"/>
      <c r="O361" s="34"/>
      <c r="P361" s="34"/>
      <c r="Q361" s="34"/>
      <c r="R361" s="34"/>
      <c r="S361" s="34"/>
      <c r="T361" s="34"/>
      <c r="U361" s="34"/>
      <c r="V361" s="34"/>
      <c r="W361" s="34"/>
      <c r="X361" s="34"/>
      <c r="Y361" s="34"/>
      <c r="Z361" s="36"/>
      <c r="AA361" s="36"/>
      <c r="AB361" s="36"/>
      <c r="AC361" s="36"/>
      <c r="AD361" s="36"/>
      <c r="AE361" s="36"/>
      <c r="AF361" s="36"/>
      <c r="AG361" s="36"/>
      <c r="AH361" s="36"/>
    </row>
    <row r="362">
      <c r="A362" s="37" t="s">
        <v>38</v>
      </c>
      <c r="B362" s="40" t="s">
        <v>795</v>
      </c>
      <c r="C362" s="37" t="s">
        <v>444</v>
      </c>
      <c r="D362" s="49" t="str">
        <f>IFERROR(__xludf.DUMMYFUNCTION("GOOGLETRANSLATE(C362,""en"",""fr"")"),"Accompagnement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62" s="49" t="str">
        <f>IFERROR(__xludf.DUMMYFUNCTION("GOOGLETRANSLATE(C362,""en"",""ht"")"),"Konsèy:
- (Konsèy TODO pa bay nan pwotokòl swen yo - ajoute kòm espas vid pou fidbak enfimyè yo)")</f>
        <v>Konsèy:
- (Konsèy TODO pa bay nan pwotokòl swen yo - ajoute kòm espas vid pou fidbak enfimyè yo)</v>
      </c>
      <c r="F362" s="34"/>
      <c r="G362" s="34"/>
      <c r="H362" s="34"/>
      <c r="I362" s="34"/>
      <c r="J362" s="34"/>
      <c r="K362" s="34"/>
      <c r="L362" s="34"/>
      <c r="M362" s="34"/>
      <c r="N362" s="34"/>
      <c r="O362" s="34"/>
      <c r="P362" s="34"/>
      <c r="Q362" s="34"/>
      <c r="R362" s="34"/>
      <c r="S362" s="34"/>
      <c r="T362" s="34"/>
      <c r="U362" s="34"/>
      <c r="V362" s="34"/>
      <c r="W362" s="34"/>
      <c r="X362" s="34"/>
      <c r="Y362" s="34"/>
      <c r="Z362" s="36"/>
      <c r="AA362" s="36"/>
      <c r="AB362" s="36"/>
      <c r="AC362" s="36"/>
      <c r="AD362" s="36"/>
      <c r="AE362" s="36"/>
      <c r="AF362" s="36"/>
      <c r="AG362" s="36"/>
      <c r="AH362" s="36"/>
    </row>
    <row r="363">
      <c r="A363" s="37" t="s">
        <v>445</v>
      </c>
      <c r="B363" s="40" t="s">
        <v>796</v>
      </c>
      <c r="C363" s="37" t="s">
        <v>797</v>
      </c>
      <c r="D363" s="49" t="str">
        <f>IFERROR(__xludf.DUMMYFUNCTION("GOOGLETRANSLATE(C363,""en"",""fr"")"),"Avez-vous administré 1 sachet de SRO ?")</f>
        <v>Avez-vous administré 1 sachet de SRO ?</v>
      </c>
      <c r="E363" s="49" t="str">
        <f>IFERROR(__xludf.DUMMYFUNCTION("GOOGLETRANSLATE(C363,""en"",""ht"")"),"Èske ou te administre 1 pake ORS?")</f>
        <v>Èske ou te administre 1 pake ORS?</v>
      </c>
      <c r="F363" s="34"/>
      <c r="G363" s="34"/>
      <c r="H363" s="34"/>
      <c r="I363" s="34"/>
      <c r="J363" s="34"/>
      <c r="K363" s="34"/>
      <c r="L363" s="34"/>
      <c r="M363" s="34"/>
      <c r="N363" s="34"/>
      <c r="O363" s="34"/>
      <c r="P363" s="34"/>
      <c r="R363" s="34"/>
      <c r="S363" s="34"/>
      <c r="T363" s="34"/>
      <c r="U363" s="34"/>
      <c r="V363" s="34"/>
      <c r="W363" s="34"/>
      <c r="X363" s="34"/>
      <c r="Y363" s="34"/>
      <c r="Z363" s="36"/>
      <c r="AA363" s="36"/>
      <c r="AB363" s="36"/>
      <c r="AC363" s="36"/>
      <c r="AD363" s="36"/>
      <c r="AE363" s="36"/>
      <c r="AF363" s="36"/>
      <c r="AG363" s="36"/>
      <c r="AH363" s="36"/>
    </row>
    <row r="364">
      <c r="A364" s="37" t="s">
        <v>102</v>
      </c>
      <c r="B364" s="40" t="s">
        <v>798</v>
      </c>
      <c r="C364" s="37" t="s">
        <v>54</v>
      </c>
      <c r="D364" s="49" t="str">
        <f>IFERROR(__xludf.DUMMYFUNCTION("GOOGLETRANSLATE(C364,""en"",""fr"")"),"SANS ÉTIQUETTE")</f>
        <v>SANS ÉTIQUETTE</v>
      </c>
      <c r="E364" s="49" t="str">
        <f>IFERROR(__xludf.DUMMYFUNCTION("GOOGLETRANSLATE(C364,""en"",""ht"")"),"PA GEN_ETIKÈT")</f>
        <v>PA GEN_ETIKÈT</v>
      </c>
      <c r="F364" s="34"/>
      <c r="G364" s="34"/>
      <c r="H364" s="34"/>
      <c r="I364" s="34"/>
      <c r="J364" s="34"/>
      <c r="K364" s="34"/>
      <c r="L364" s="34"/>
      <c r="M364" s="34"/>
      <c r="N364" s="34"/>
      <c r="O364" s="34"/>
      <c r="P364" s="37"/>
      <c r="Q364" s="37" t="s">
        <v>799</v>
      </c>
      <c r="R364" s="34"/>
      <c r="S364" s="34"/>
      <c r="T364" s="34"/>
      <c r="U364" s="34"/>
      <c r="V364" s="34"/>
      <c r="W364" s="34"/>
      <c r="X364" s="34"/>
      <c r="Y364" s="34"/>
      <c r="Z364" s="36"/>
      <c r="AA364" s="36"/>
      <c r="AB364" s="36"/>
      <c r="AC364" s="36"/>
      <c r="AD364" s="36"/>
      <c r="AE364" s="36"/>
      <c r="AF364" s="36"/>
      <c r="AG364" s="36"/>
      <c r="AH364" s="36"/>
    </row>
    <row r="365">
      <c r="A365" s="37" t="s">
        <v>451</v>
      </c>
      <c r="B365" s="40" t="s">
        <v>800</v>
      </c>
      <c r="C365" s="37" t="s">
        <v>453</v>
      </c>
      <c r="D365" s="49" t="str">
        <f>IFERROR(__xludf.DUMMYFUNCTION("GOOGLETRANSLATE(C365,""en"",""fr"")"),"Vous avez laissé au moins une confirmation de médicament vide. Si cela est intentionnel, veuillez indiquer pourquoi ci-dessous.")</f>
        <v>Vous avez laissé au moins une confirmation de médicament vide. Si cela est intentionnel, veuillez indiquer pourquoi ci-dessous.</v>
      </c>
      <c r="E365" s="49" t="str">
        <f>IFERROR(__xludf.DUMMYFUNCTION("GOOGLETRANSLATE(C365,""en"",""ht"")"),"Ou kite omwen yon konfimasyon medikaman vid. Si se espre, ekri poukisa anba a.")</f>
        <v>Ou kite omwen yon konfimasyon medikaman vid. Si se espre, ekri poukisa anba a.</v>
      </c>
      <c r="F365" s="37" t="s">
        <v>454</v>
      </c>
      <c r="G365" s="49" t="str">
        <f>IFERROR(__xludf.DUMMYFUNCTION("GOOGLETRANSLATE(F365,""en"",""fr"")"),"Si vous avez distribué une quantité différente de médicaments, notez combien.")</f>
        <v>Si vous avez distribué une quantité différente de médicaments, notez combien.</v>
      </c>
      <c r="H365" s="49" t="str">
        <f>IFERROR(__xludf.DUMMYFUNCTION("GOOGLETRANSLATE(F365,""en"",""ht"")"),"Si ou te distribye yon kantite dwòg diferan, anrejistre konbyen.")</f>
        <v>Si ou te distribye yon kantite dwòg diferan, anrejistre konbyen.</v>
      </c>
      <c r="I365" s="37" t="s">
        <v>68</v>
      </c>
      <c r="J365" s="37" t="s">
        <v>801</v>
      </c>
      <c r="K365" s="34"/>
      <c r="L365" s="34"/>
      <c r="M365" s="34"/>
      <c r="N365" s="34"/>
      <c r="O365" s="34"/>
      <c r="P365" s="34"/>
      <c r="Q365" s="34"/>
      <c r="R365" s="34"/>
      <c r="S365" s="34"/>
      <c r="T365" s="34"/>
      <c r="U365" s="34"/>
      <c r="V365" s="34"/>
      <c r="W365" s="34"/>
      <c r="X365" s="34"/>
      <c r="Y365" s="34"/>
      <c r="Z365" s="36"/>
      <c r="AA365" s="36"/>
      <c r="AB365" s="36"/>
      <c r="AC365" s="36"/>
      <c r="AD365" s="36"/>
      <c r="AE365" s="36"/>
      <c r="AF365" s="36"/>
      <c r="AG365" s="36"/>
      <c r="AH365" s="36"/>
    </row>
    <row r="366">
      <c r="A366" s="37" t="s">
        <v>451</v>
      </c>
      <c r="B366" s="40" t="s">
        <v>802</v>
      </c>
      <c r="C366" s="37" t="s">
        <v>457</v>
      </c>
      <c r="D366" s="49" t="str">
        <f>IFERROR(__xludf.DUMMYFUNCTION("GOOGLETRANSLATE(C366,""en"",""fr"")"),"Notes cliniques :")</f>
        <v>Notes cliniques :</v>
      </c>
      <c r="E366" s="49" t="str">
        <f>IFERROR(__xludf.DUMMYFUNCTION("GOOGLETRANSLATE(C366,""en"",""ht"")"),"Nòt klinik:")</f>
        <v>Nòt klinik:</v>
      </c>
      <c r="F366" s="34"/>
      <c r="G366" s="34"/>
      <c r="H366" s="34"/>
      <c r="I366" s="34"/>
      <c r="J366" s="34"/>
      <c r="K366" s="34"/>
      <c r="L366" s="34"/>
      <c r="M366" s="34"/>
      <c r="N366" s="34"/>
      <c r="O366" s="34"/>
      <c r="P366" s="34"/>
      <c r="Q366" s="34"/>
      <c r="R366" s="34"/>
      <c r="S366" s="34"/>
      <c r="T366" s="34"/>
      <c r="U366" s="34"/>
      <c r="V366" s="34"/>
      <c r="W366" s="34"/>
      <c r="X366" s="34"/>
      <c r="Y366" s="34"/>
      <c r="Z366" s="36"/>
      <c r="AA366" s="36"/>
      <c r="AB366" s="36"/>
      <c r="AC366" s="36"/>
      <c r="AD366" s="36"/>
      <c r="AE366" s="36"/>
      <c r="AF366" s="36"/>
      <c r="AG366" s="36"/>
      <c r="AH366" s="36"/>
    </row>
    <row r="367">
      <c r="A367" s="37" t="s">
        <v>82</v>
      </c>
      <c r="B367" s="40" t="s">
        <v>790</v>
      </c>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6"/>
      <c r="AA367" s="36"/>
      <c r="AB367" s="36"/>
      <c r="AC367" s="36"/>
      <c r="AD367" s="36"/>
      <c r="AE367" s="36"/>
      <c r="AF367" s="36"/>
      <c r="AG367" s="36"/>
      <c r="AH367" s="36"/>
    </row>
    <row r="368">
      <c r="A368" s="37" t="s">
        <v>49</v>
      </c>
      <c r="B368" s="40" t="s">
        <v>803</v>
      </c>
      <c r="C368" s="37" t="s">
        <v>324</v>
      </c>
      <c r="D368" s="37" t="s">
        <v>804</v>
      </c>
      <c r="E368" s="37" t="s">
        <v>805</v>
      </c>
      <c r="F368" s="34"/>
      <c r="G368" s="34"/>
      <c r="H368" s="34"/>
      <c r="I368" s="34"/>
      <c r="J368" s="37" t="s">
        <v>325</v>
      </c>
      <c r="K368" s="37" t="s">
        <v>58</v>
      </c>
      <c r="L368" s="34"/>
      <c r="M368" s="34"/>
      <c r="N368" s="34"/>
      <c r="O368" s="34"/>
      <c r="P368" s="34"/>
      <c r="Q368" s="34"/>
      <c r="R368" s="34"/>
      <c r="S368" s="34"/>
      <c r="T368" s="34"/>
      <c r="U368" s="34"/>
      <c r="V368" s="34"/>
      <c r="W368" s="34"/>
      <c r="X368" s="34"/>
      <c r="Y368" s="34"/>
      <c r="Z368" s="36"/>
      <c r="AA368" s="36"/>
      <c r="AB368" s="36"/>
      <c r="AC368" s="36"/>
      <c r="AD368" s="36"/>
      <c r="AE368" s="36"/>
      <c r="AF368" s="36"/>
      <c r="AG368" s="36"/>
      <c r="AH368" s="36"/>
    </row>
    <row r="369">
      <c r="A369" s="37" t="s">
        <v>38</v>
      </c>
      <c r="B369" s="40" t="s">
        <v>806</v>
      </c>
      <c r="C369" s="37" t="s">
        <v>807</v>
      </c>
      <c r="D369" s="37" t="str">
        <f>IFERROR(__xludf.DUMMYFUNCTION("GOOGLETRANSLATE(C369,""en"",""fr"")"),"Le patient présente un risque de tuberculose.")</f>
        <v>Le patient présente un risque de tuberculose.</v>
      </c>
      <c r="E369" s="37" t="str">
        <f>IFERROR(__xludf.DUMMYFUNCTION("GOOGLETRANSLATE(C369,""en"",""ht"")"),"Pasyan an gen risk pou l pran tibèkiloz")</f>
        <v>Pasyan an gen risk pou l pran tibèkiloz</v>
      </c>
      <c r="F369" s="34"/>
      <c r="G369" s="34"/>
      <c r="H369" s="34"/>
      <c r="I369" s="34"/>
      <c r="J369" s="37"/>
      <c r="K369" s="37" t="s">
        <v>197</v>
      </c>
      <c r="L369" s="34"/>
      <c r="M369" s="34"/>
      <c r="N369" s="34"/>
      <c r="O369" s="34"/>
      <c r="P369" s="34"/>
      <c r="Q369" s="34"/>
      <c r="R369" s="34"/>
      <c r="S369" s="34"/>
      <c r="T369" s="34"/>
      <c r="U369" s="34"/>
      <c r="V369" s="34"/>
      <c r="W369" s="34"/>
      <c r="X369" s="34"/>
      <c r="Y369" s="34"/>
      <c r="Z369" s="36"/>
      <c r="AA369" s="36"/>
      <c r="AB369" s="36"/>
      <c r="AC369" s="36"/>
      <c r="AD369" s="36"/>
      <c r="AE369" s="36"/>
      <c r="AF369" s="36"/>
      <c r="AG369" s="36"/>
      <c r="AH369" s="36"/>
    </row>
    <row r="370">
      <c r="A370" s="37" t="s">
        <v>38</v>
      </c>
      <c r="B370" s="40" t="s">
        <v>808</v>
      </c>
      <c r="C370" s="37" t="s">
        <v>809</v>
      </c>
      <c r="D370" s="37" t="str">
        <f>IFERROR(__xludf.DUMMYFUNCTION("GOOGLETRANSLATE(C370,""en"",""fr"")"),"Protocole :
- Orienter vers un service de diagnostic et de traitement
- Informer et encourager le patient que le traitement de la tuberculose est entièrement gratuit")</f>
        <v>Protocole :
- Orienter vers un service de diagnostic et de traitement
- Informer et encourager le patient que le traitement de la tuberculose est entièrement gratuit</v>
      </c>
      <c r="E370" s="37" t="str">
        <f>IFERROR(__xludf.DUMMYFUNCTION("GOOGLETRANSLATE(C370,""en"",""ht"")"),"Pwotokòl:
- Referans pou dyagnostik ak tretman
- Enfòme epi motive pasyan an ke tretman pou tibèkiloz la konplètman gratis")</f>
        <v>Pwotokòl:
- Referans pou dyagnostik ak tretman
- Enfòme epi motive pasyan an ke tretman pou tibèkiloz la konplètman gratis</v>
      </c>
      <c r="F370" s="34"/>
      <c r="G370" s="34"/>
      <c r="H370" s="34"/>
      <c r="I370" s="34"/>
      <c r="J370" s="34"/>
      <c r="K370" s="34"/>
      <c r="L370" s="34"/>
      <c r="M370" s="34"/>
      <c r="N370" s="34"/>
      <c r="O370" s="34"/>
      <c r="P370" s="34"/>
      <c r="Q370" s="34"/>
      <c r="R370" s="34"/>
      <c r="S370" s="34"/>
      <c r="T370" s="34"/>
      <c r="U370" s="34"/>
      <c r="V370" s="34"/>
      <c r="W370" s="34"/>
      <c r="X370" s="34"/>
      <c r="Y370" s="34"/>
      <c r="Z370" s="36"/>
      <c r="AA370" s="36"/>
      <c r="AB370" s="36"/>
      <c r="AC370" s="36"/>
      <c r="AD370" s="36"/>
      <c r="AE370" s="36"/>
      <c r="AF370" s="36"/>
      <c r="AG370" s="36"/>
      <c r="AH370" s="36"/>
    </row>
    <row r="371">
      <c r="A371" s="37" t="s">
        <v>38</v>
      </c>
      <c r="B371" s="40" t="s">
        <v>810</v>
      </c>
      <c r="C371" s="37" t="s">
        <v>444</v>
      </c>
      <c r="D371" s="37" t="str">
        <f>IFERROR(__xludf.DUMMYFUNCTION("GOOGLETRANSLATE(C371,""en"",""fr"")"),"Accompagnement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71" s="37" t="str">
        <f>IFERROR(__xludf.DUMMYFUNCTION("GOOGLETRANSLATE(C371,""en"",""ht"")"),"Konsèy:
- (Konsèy TODO pa bay nan pwotokòl swen yo - ajoute kòm espas vid pou fidbak enfimyè yo)")</f>
        <v>Konsèy:
- (Konsèy TODO pa bay nan pwotokòl swen yo - ajoute kòm espas vid pou fidbak enfimyè yo)</v>
      </c>
      <c r="F371" s="34"/>
      <c r="G371" s="34"/>
      <c r="H371" s="34"/>
      <c r="I371" s="34"/>
      <c r="J371" s="34"/>
      <c r="K371" s="34"/>
      <c r="L371" s="34"/>
      <c r="M371" s="34"/>
      <c r="N371" s="34"/>
      <c r="O371" s="34"/>
      <c r="P371" s="34"/>
      <c r="Q371" s="34"/>
      <c r="R371" s="34"/>
      <c r="S371" s="34"/>
      <c r="T371" s="34"/>
      <c r="U371" s="34"/>
      <c r="V371" s="34"/>
      <c r="W371" s="34"/>
      <c r="X371" s="34"/>
      <c r="Y371" s="34"/>
      <c r="Z371" s="36"/>
      <c r="AA371" s="36"/>
      <c r="AB371" s="36"/>
      <c r="AC371" s="36"/>
      <c r="AD371" s="36"/>
      <c r="AE371" s="36"/>
      <c r="AF371" s="36"/>
      <c r="AG371" s="36"/>
      <c r="AH371" s="36"/>
    </row>
    <row r="372">
      <c r="A372" s="37" t="s">
        <v>451</v>
      </c>
      <c r="B372" s="40" t="s">
        <v>811</v>
      </c>
      <c r="C372" s="37" t="s">
        <v>457</v>
      </c>
      <c r="D372" s="37" t="str">
        <f>IFERROR(__xludf.DUMMYFUNCTION("GOOGLETRANSLATE(C372,""en"",""fr"")"),"Notes cliniques :")</f>
        <v>Notes cliniques :</v>
      </c>
      <c r="E372" s="37" t="str">
        <f>IFERROR(__xludf.DUMMYFUNCTION("GOOGLETRANSLATE(C372,""en"",""ht"")"),"Nòt klinik:")</f>
        <v>Nòt klinik:</v>
      </c>
      <c r="F372" s="34"/>
      <c r="G372" s="34"/>
      <c r="H372" s="34"/>
      <c r="I372" s="34"/>
      <c r="J372" s="34"/>
      <c r="K372" s="34"/>
      <c r="L372" s="34"/>
      <c r="M372" s="34"/>
      <c r="N372" s="34"/>
      <c r="O372" s="34"/>
      <c r="P372" s="34"/>
      <c r="Q372" s="34"/>
      <c r="R372" s="34"/>
      <c r="S372" s="34"/>
      <c r="T372" s="34"/>
      <c r="U372" s="34"/>
      <c r="V372" s="34"/>
      <c r="W372" s="34"/>
      <c r="X372" s="34"/>
      <c r="Y372" s="34"/>
      <c r="Z372" s="36"/>
      <c r="AA372" s="36"/>
      <c r="AB372" s="36"/>
      <c r="AC372" s="36"/>
      <c r="AD372" s="36"/>
      <c r="AE372" s="36"/>
      <c r="AF372" s="36"/>
      <c r="AG372" s="36"/>
      <c r="AH372" s="36"/>
    </row>
    <row r="373">
      <c r="A373" s="37" t="s">
        <v>82</v>
      </c>
      <c r="B373" s="40" t="s">
        <v>803</v>
      </c>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6"/>
      <c r="AA373" s="36"/>
      <c r="AB373" s="36"/>
      <c r="AC373" s="36"/>
      <c r="AD373" s="36"/>
      <c r="AE373" s="36"/>
      <c r="AF373" s="36"/>
      <c r="AG373" s="36"/>
      <c r="AH373" s="36"/>
    </row>
    <row r="374">
      <c r="A374" s="37" t="s">
        <v>49</v>
      </c>
      <c r="B374" s="40" t="s">
        <v>812</v>
      </c>
      <c r="C374" s="37" t="s">
        <v>331</v>
      </c>
      <c r="D374" s="37" t="s">
        <v>813</v>
      </c>
      <c r="E374" s="37" t="s">
        <v>814</v>
      </c>
      <c r="F374" s="34"/>
      <c r="G374" s="34"/>
      <c r="H374" s="34"/>
      <c r="I374" s="34"/>
      <c r="J374" s="37" t="s">
        <v>332</v>
      </c>
      <c r="K374" s="37" t="s">
        <v>58</v>
      </c>
      <c r="L374" s="34"/>
      <c r="M374" s="34"/>
      <c r="N374" s="34"/>
      <c r="O374" s="34"/>
      <c r="P374" s="34"/>
      <c r="Q374" s="34"/>
      <c r="R374" s="34"/>
      <c r="S374" s="34"/>
      <c r="T374" s="34"/>
      <c r="U374" s="34"/>
      <c r="V374" s="34"/>
      <c r="W374" s="34"/>
      <c r="X374" s="34"/>
      <c r="Y374" s="34"/>
      <c r="Z374" s="36"/>
      <c r="AA374" s="36"/>
      <c r="AB374" s="36"/>
      <c r="AC374" s="36"/>
      <c r="AD374" s="36"/>
      <c r="AE374" s="36"/>
      <c r="AF374" s="36"/>
      <c r="AG374" s="36"/>
      <c r="AH374" s="36"/>
    </row>
    <row r="375">
      <c r="A375" s="37" t="s">
        <v>38</v>
      </c>
      <c r="B375" s="40" t="s">
        <v>815</v>
      </c>
      <c r="C375" s="37" t="s">
        <v>816</v>
      </c>
      <c r="D375" s="37" t="str">
        <f>IFERROR(__xludf.DUMMYFUNCTION("GOOGLETRANSLATE(C375,""en"",""fr"")"),"Le patient souffre d'asthme.")</f>
        <v>Le patient souffre d'asthme.</v>
      </c>
      <c r="E375" s="37" t="str">
        <f>IFERROR(__xludf.DUMMYFUNCTION("GOOGLETRANSLATE(C375,""en"",""ht"")"),"Pasyan an gen Asma")</f>
        <v>Pasyan an gen Asma</v>
      </c>
      <c r="F375" s="34"/>
      <c r="G375" s="34"/>
      <c r="H375" s="34"/>
      <c r="I375" s="34"/>
      <c r="K375" s="37" t="s">
        <v>182</v>
      </c>
      <c r="L375" s="34"/>
      <c r="M375" s="34"/>
      <c r="N375" s="34"/>
      <c r="O375" s="34"/>
      <c r="P375" s="34"/>
      <c r="Q375" s="34"/>
      <c r="R375" s="34"/>
      <c r="S375" s="34"/>
      <c r="T375" s="34"/>
      <c r="U375" s="34"/>
      <c r="V375" s="34"/>
      <c r="W375" s="34"/>
      <c r="X375" s="34"/>
      <c r="Y375" s="34"/>
      <c r="Z375" s="36"/>
      <c r="AA375" s="36"/>
      <c r="AB375" s="36"/>
      <c r="AC375" s="36"/>
      <c r="AD375" s="36"/>
      <c r="AE375" s="36"/>
      <c r="AF375" s="36"/>
      <c r="AG375" s="36"/>
      <c r="AH375" s="36"/>
    </row>
    <row r="376">
      <c r="A376" s="37" t="s">
        <v>38</v>
      </c>
      <c r="B376" s="40" t="s">
        <v>817</v>
      </c>
      <c r="C376" s="37" t="s">
        <v>818</v>
      </c>
      <c r="D376" s="37" t="str">
        <f>IFERROR(__xludf.DUMMYFUNCTION("GOOGLETRANSLATE(C376,""en"",""fr"")"),"Protocole :
- Administrer un nébuliseur pour un traitement immédiat
- Administrer 1 injection intramusculaire de 8 mg de dexaméthasone
- Distribuer 14 comprimés de salbutamol à 4 mg, à prendre 2 fois par jour pendant 7 jours")</f>
        <v>Protocole :
- Administrer un nébuliseur pour un traitement immédiat
- Administrer 1 injection intramusculaire de 8 mg de dexaméthasone
- Distribuer 14 comprimés de salbutamol à 4 mg, à prendre 2 fois par jour pendant 7 jours</v>
      </c>
      <c r="E376" s="37" t="str">
        <f>IFERROR(__xludf.DUMMYFUNCTION("GOOGLETRANSLATE(C376,""en"",""ht"")"),"Pwotokòl:
- Administre yon nebulizatè pou tretman imedya
- Administre 1 Dexamethasone IM 8mg
- Distribye 14 grenn Salbutamol 4mg pou pran 2 fwa pa jou pandan 7 jou")</f>
        <v>Pwotokòl:
- Administre yon nebulizatè pou tretman imedya
- Administre 1 Dexamethasone IM 8mg
- Distribye 14 grenn Salbutamol 4mg pou pran 2 fwa pa jou pandan 7 jou</v>
      </c>
      <c r="F376" s="34"/>
      <c r="G376" s="34"/>
      <c r="H376" s="34"/>
      <c r="I376" s="34"/>
      <c r="J376" s="34"/>
      <c r="K376" s="34"/>
      <c r="L376" s="34"/>
      <c r="M376" s="34"/>
      <c r="N376" s="34"/>
      <c r="O376" s="34"/>
      <c r="P376" s="34"/>
      <c r="Q376" s="34"/>
      <c r="R376" s="34"/>
      <c r="S376" s="34"/>
      <c r="T376" s="34"/>
      <c r="U376" s="34"/>
      <c r="V376" s="34"/>
      <c r="W376" s="34"/>
      <c r="X376" s="34"/>
      <c r="Y376" s="34"/>
      <c r="Z376" s="36"/>
      <c r="AA376" s="36"/>
      <c r="AB376" s="36"/>
      <c r="AC376" s="36"/>
      <c r="AD376" s="36"/>
      <c r="AE376" s="36"/>
      <c r="AF376" s="36"/>
      <c r="AG376" s="36"/>
      <c r="AH376" s="36"/>
    </row>
    <row r="377">
      <c r="A377" s="37" t="s">
        <v>38</v>
      </c>
      <c r="B377" s="40" t="s">
        <v>819</v>
      </c>
      <c r="C377" s="37" t="s">
        <v>820</v>
      </c>
      <c r="D377" s="37" t="str">
        <f>IFERROR(__xludf.DUMMYFUNCTION("GOOGLETRANSLATE(C377,""en"",""fr"")"),"Conseils :
- Si l’état ne s’améliore pas après deux jours, rendez-vous à l’hôpital")</f>
        <v>Conseils :
- Si l’état ne s’améliore pas après deux jours, rendez-vous à l’hôpital</v>
      </c>
      <c r="E377" s="37" t="str">
        <f>IFERROR(__xludf.DUMMYFUNCTION("GOOGLETRANSLATE(C377,""en"",""ht"")"),"Konsèy:
- Si kondisyon an pa amelyore apre de jou, ale lopital.")</f>
        <v>Konsèy:
- Si kondisyon an pa amelyore apre de jou, ale lopital.</v>
      </c>
      <c r="F377" s="34"/>
      <c r="G377" s="34"/>
      <c r="H377" s="34"/>
      <c r="I377" s="34"/>
      <c r="J377" s="34"/>
      <c r="K377" s="34"/>
      <c r="L377" s="34"/>
      <c r="M377" s="34"/>
      <c r="N377" s="34"/>
      <c r="O377" s="34"/>
      <c r="P377" s="34"/>
      <c r="Q377" s="34"/>
      <c r="R377" s="34"/>
      <c r="S377" s="34"/>
      <c r="T377" s="34"/>
      <c r="U377" s="34"/>
      <c r="V377" s="34"/>
      <c r="W377" s="34"/>
      <c r="X377" s="34"/>
      <c r="Y377" s="34"/>
      <c r="Z377" s="36"/>
      <c r="AA377" s="36"/>
      <c r="AB377" s="36"/>
      <c r="AC377" s="36"/>
      <c r="AD377" s="36"/>
      <c r="AE377" s="36"/>
      <c r="AF377" s="36"/>
      <c r="AG377" s="36"/>
      <c r="AH377" s="36"/>
    </row>
    <row r="378">
      <c r="A378" s="37" t="s">
        <v>445</v>
      </c>
      <c r="B378" s="40" t="s">
        <v>821</v>
      </c>
      <c r="C378" s="37" t="s">
        <v>822</v>
      </c>
      <c r="D378" s="37" t="str">
        <f>IFERROR(__xludf.DUMMYFUNCTION("GOOGLETRANSLATE(C378,""en"",""fr"")"),"Avez-vous distribué 14 comprimés de salbutamol 4 mg ?")</f>
        <v>Avez-vous distribué 14 comprimés de salbutamol 4 mg ?</v>
      </c>
      <c r="E378" s="37" t="str">
        <f>IFERROR(__xludf.DUMMYFUNCTION("GOOGLETRANSLATE(C378,""en"",""ht"")"),"Èske ou te distribye 14 grenn Salbutamol 4mg?")</f>
        <v>Èske ou te distribye 14 grenn Salbutamol 4mg?</v>
      </c>
      <c r="F378" s="34"/>
      <c r="G378" s="34"/>
      <c r="H378" s="34"/>
      <c r="I378" s="34"/>
      <c r="J378" s="34"/>
      <c r="K378" s="34"/>
      <c r="L378" s="34"/>
      <c r="M378" s="34"/>
      <c r="N378" s="34"/>
      <c r="O378" s="34"/>
      <c r="P378" s="34"/>
      <c r="Q378" s="34"/>
      <c r="R378" s="34"/>
      <c r="S378" s="34"/>
      <c r="T378" s="34"/>
      <c r="U378" s="34"/>
      <c r="V378" s="34"/>
      <c r="W378" s="34"/>
      <c r="X378" s="34"/>
      <c r="Y378" s="34"/>
      <c r="Z378" s="36"/>
      <c r="AA378" s="36"/>
      <c r="AB378" s="36"/>
      <c r="AC378" s="36"/>
      <c r="AD378" s="36"/>
      <c r="AE378" s="36"/>
      <c r="AF378" s="36"/>
      <c r="AG378" s="36"/>
      <c r="AH378" s="36"/>
    </row>
    <row r="379">
      <c r="A379" s="37" t="s">
        <v>102</v>
      </c>
      <c r="B379" s="40" t="s">
        <v>823</v>
      </c>
      <c r="C379" s="37" t="s">
        <v>54</v>
      </c>
      <c r="D379" s="37" t="str">
        <f>IFERROR(__xludf.DUMMYFUNCTION("GOOGLETRANSLATE(C379,""en"",""fr"")"),"SANS ÉTIQUETTE")</f>
        <v>SANS ÉTIQUETTE</v>
      </c>
      <c r="E379" s="37" t="str">
        <f>IFERROR(__xludf.DUMMYFUNCTION("GOOGLETRANSLATE(C379,""en"",""ht"")"),"PA GEN_ETIKÈT")</f>
        <v>PA GEN_ETIKÈT</v>
      </c>
      <c r="F379" s="34"/>
      <c r="G379" s="34"/>
      <c r="H379" s="34"/>
      <c r="I379" s="34"/>
      <c r="J379" s="34"/>
      <c r="K379" s="34"/>
      <c r="L379" s="34"/>
      <c r="M379" s="34"/>
      <c r="N379" s="34"/>
      <c r="O379" s="34"/>
      <c r="P379" s="34"/>
      <c r="Q379" s="37" t="s">
        <v>824</v>
      </c>
      <c r="R379" s="34"/>
      <c r="S379" s="34"/>
      <c r="T379" s="34"/>
      <c r="U379" s="34"/>
      <c r="V379" s="34"/>
      <c r="W379" s="34"/>
      <c r="X379" s="34"/>
      <c r="Y379" s="34"/>
      <c r="Z379" s="36"/>
      <c r="AA379" s="36"/>
      <c r="AB379" s="36"/>
      <c r="AC379" s="36"/>
      <c r="AD379" s="36"/>
      <c r="AE379" s="36"/>
      <c r="AF379" s="36"/>
      <c r="AG379" s="36"/>
      <c r="AH379" s="36"/>
    </row>
    <row r="380">
      <c r="A380" s="37" t="s">
        <v>445</v>
      </c>
      <c r="B380" s="40" t="s">
        <v>825</v>
      </c>
      <c r="C380" s="37" t="s">
        <v>826</v>
      </c>
      <c r="D380" s="37" t="str">
        <f>IFERROR(__xludf.DUMMYFUNCTION("GOOGLETRANSLATE(C380,""en"",""fr"")"),"Avez-vous administré 1 dose de dexaméthasone 8 mg par voie intramusculaire ?")</f>
        <v>Avez-vous administré 1 dose de dexaméthasone 8 mg par voie intramusculaire ?</v>
      </c>
      <c r="E380" s="37" t="str">
        <f>IFERROR(__xludf.DUMMYFUNCTION("GOOGLETRANSLATE(C380,""en"",""ht"")"),"Èske ou te administre 1 Dexamethasone 8mg IM?")</f>
        <v>Èske ou te administre 1 Dexamethasone 8mg IM?</v>
      </c>
      <c r="F380" s="34"/>
      <c r="G380" s="34"/>
      <c r="H380" s="34"/>
      <c r="I380" s="34"/>
      <c r="J380" s="34"/>
      <c r="K380" s="34"/>
      <c r="L380" s="34"/>
      <c r="M380" s="34"/>
      <c r="N380" s="34"/>
      <c r="O380" s="34"/>
      <c r="P380" s="34"/>
      <c r="Q380" s="34"/>
      <c r="R380" s="34"/>
      <c r="S380" s="34"/>
      <c r="T380" s="34"/>
      <c r="U380" s="34"/>
      <c r="V380" s="34"/>
      <c r="W380" s="34"/>
      <c r="X380" s="34"/>
      <c r="Y380" s="34"/>
      <c r="Z380" s="36"/>
      <c r="AA380" s="36"/>
      <c r="AB380" s="36"/>
      <c r="AC380" s="36"/>
      <c r="AD380" s="36"/>
      <c r="AE380" s="36"/>
      <c r="AF380" s="36"/>
      <c r="AG380" s="36"/>
      <c r="AH380" s="36"/>
    </row>
    <row r="381">
      <c r="A381" s="37" t="s">
        <v>102</v>
      </c>
      <c r="B381" s="40" t="s">
        <v>827</v>
      </c>
      <c r="C381" s="37" t="s">
        <v>54</v>
      </c>
      <c r="D381" s="37" t="str">
        <f>IFERROR(__xludf.DUMMYFUNCTION("GOOGLETRANSLATE(C381,""en"",""fr"")"),"SANS ÉTIQUETTE")</f>
        <v>SANS ÉTIQUETTE</v>
      </c>
      <c r="E381" s="37" t="str">
        <f>IFERROR(__xludf.DUMMYFUNCTION("GOOGLETRANSLATE(C381,""en"",""ht"")"),"PA GEN_ETIKÈT")</f>
        <v>PA GEN_ETIKÈT</v>
      </c>
      <c r="F381" s="34"/>
      <c r="G381" s="34"/>
      <c r="H381" s="34"/>
      <c r="I381" s="34"/>
      <c r="J381" s="34"/>
      <c r="K381" s="34"/>
      <c r="L381" s="34"/>
      <c r="M381" s="34"/>
      <c r="N381" s="34"/>
      <c r="O381" s="34"/>
      <c r="P381" s="34"/>
      <c r="Q381" s="37" t="s">
        <v>828</v>
      </c>
      <c r="R381" s="34"/>
      <c r="S381" s="34"/>
      <c r="T381" s="34"/>
      <c r="U381" s="34"/>
      <c r="V381" s="34"/>
      <c r="W381" s="34"/>
      <c r="X381" s="34"/>
      <c r="Y381" s="34"/>
      <c r="Z381" s="36"/>
      <c r="AA381" s="36"/>
      <c r="AB381" s="36"/>
      <c r="AC381" s="36"/>
      <c r="AD381" s="36"/>
      <c r="AE381" s="36"/>
      <c r="AF381" s="36"/>
      <c r="AG381" s="36"/>
      <c r="AH381" s="36"/>
    </row>
    <row r="382">
      <c r="A382" s="37" t="s">
        <v>451</v>
      </c>
      <c r="B382" s="40" t="s">
        <v>829</v>
      </c>
      <c r="C382" s="37" t="s">
        <v>453</v>
      </c>
      <c r="D382" s="37" t="str">
        <f>IFERROR(__xludf.DUMMYFUNCTION("GOOGLETRANSLATE(C382,""en"",""fr"")"),"Vous avez laissé au moins une confirmation de médicament vide. Si cela est intentionnel, veuillez indiquer pourquoi ci-dessous.")</f>
        <v>Vous avez laissé au moins une confirmation de médicament vide. Si cela est intentionnel, veuillez indiquer pourquoi ci-dessous.</v>
      </c>
      <c r="E382" s="37" t="str">
        <f>IFERROR(__xludf.DUMMYFUNCTION("GOOGLETRANSLATE(C382,""en"",""ht"")"),"Ou kite omwen yon konfimasyon medikaman vid. Si se espre, ekri poukisa anba a.")</f>
        <v>Ou kite omwen yon konfimasyon medikaman vid. Si se espre, ekri poukisa anba a.</v>
      </c>
      <c r="F382" s="37" t="s">
        <v>454</v>
      </c>
      <c r="G382" s="37" t="str">
        <f>IFERROR(__xludf.DUMMYFUNCTION("GOOGLETRANSLATE(F382,""en"",""fr"")"),"Si vous avez distribué une quantité différente de médicaments, notez combien.")</f>
        <v>Si vous avez distribué une quantité différente de médicaments, notez combien.</v>
      </c>
      <c r="H382" s="37" t="str">
        <f>IFERROR(__xludf.DUMMYFUNCTION("GOOGLETRANSLATE(F382,""en"",""ht"")"),"Si ou te distribye yon kantite dwòg diferan, anrejistre konbyen.")</f>
        <v>Si ou te distribye yon kantite dwòg diferan, anrejistre konbyen.</v>
      </c>
      <c r="I382" s="37" t="s">
        <v>68</v>
      </c>
      <c r="J382" s="37" t="s">
        <v>830</v>
      </c>
      <c r="K382" s="34"/>
      <c r="L382" s="34"/>
      <c r="M382" s="34"/>
      <c r="N382" s="34"/>
      <c r="O382" s="34"/>
      <c r="P382" s="34"/>
      <c r="Q382" s="34"/>
      <c r="R382" s="34"/>
      <c r="S382" s="34"/>
      <c r="T382" s="34"/>
      <c r="U382" s="34"/>
      <c r="V382" s="34"/>
      <c r="W382" s="34"/>
      <c r="X382" s="34"/>
      <c r="Y382" s="34"/>
      <c r="Z382" s="36"/>
      <c r="AA382" s="36"/>
      <c r="AB382" s="36"/>
      <c r="AC382" s="36"/>
      <c r="AD382" s="36"/>
      <c r="AE382" s="36"/>
      <c r="AF382" s="36"/>
      <c r="AG382" s="36"/>
      <c r="AH382" s="36"/>
    </row>
    <row r="383">
      <c r="A383" s="37" t="s">
        <v>451</v>
      </c>
      <c r="B383" s="40" t="s">
        <v>831</v>
      </c>
      <c r="C383" s="37" t="s">
        <v>457</v>
      </c>
      <c r="D383" s="37" t="str">
        <f>IFERROR(__xludf.DUMMYFUNCTION("GOOGLETRANSLATE(C383,""en"",""fr"")"),"Notes cliniques :")</f>
        <v>Notes cliniques :</v>
      </c>
      <c r="E383" s="37" t="str">
        <f>IFERROR(__xludf.DUMMYFUNCTION("GOOGLETRANSLATE(C383,""en"",""ht"")"),"Nòt klinik:")</f>
        <v>Nòt klinik:</v>
      </c>
      <c r="F383" s="34"/>
      <c r="G383" s="34"/>
      <c r="H383" s="34"/>
      <c r="I383" s="34"/>
      <c r="J383" s="34"/>
      <c r="K383" s="34"/>
      <c r="L383" s="34"/>
      <c r="M383" s="34"/>
      <c r="N383" s="34"/>
      <c r="O383" s="34"/>
      <c r="P383" s="34"/>
      <c r="Q383" s="34"/>
      <c r="R383" s="34"/>
      <c r="S383" s="34"/>
      <c r="T383" s="34"/>
      <c r="U383" s="34"/>
      <c r="V383" s="34"/>
      <c r="W383" s="34"/>
      <c r="X383" s="34"/>
      <c r="Y383" s="34"/>
      <c r="Z383" s="36"/>
      <c r="AA383" s="36"/>
      <c r="AB383" s="36"/>
      <c r="AC383" s="36"/>
      <c r="AD383" s="36"/>
      <c r="AE383" s="36"/>
      <c r="AF383" s="36"/>
      <c r="AG383" s="36"/>
      <c r="AH383" s="36"/>
    </row>
    <row r="384">
      <c r="A384" s="37" t="s">
        <v>82</v>
      </c>
      <c r="B384" s="40" t="s">
        <v>812</v>
      </c>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6"/>
      <c r="AA384" s="36"/>
      <c r="AB384" s="36"/>
      <c r="AC384" s="36"/>
      <c r="AD384" s="36"/>
      <c r="AE384" s="36"/>
      <c r="AF384" s="36"/>
      <c r="AG384" s="36"/>
      <c r="AH384" s="36"/>
    </row>
    <row r="385">
      <c r="A385" s="37" t="s">
        <v>49</v>
      </c>
      <c r="B385" s="40" t="s">
        <v>832</v>
      </c>
      <c r="C385" s="37" t="s">
        <v>338</v>
      </c>
      <c r="D385" s="37" t="s">
        <v>833</v>
      </c>
      <c r="E385" s="37" t="s">
        <v>834</v>
      </c>
      <c r="F385" s="34"/>
      <c r="G385" s="34"/>
      <c r="H385" s="34"/>
      <c r="I385" s="34"/>
      <c r="J385" s="37" t="s">
        <v>339</v>
      </c>
      <c r="K385" s="37" t="s">
        <v>58</v>
      </c>
      <c r="L385" s="34"/>
      <c r="M385" s="34"/>
      <c r="N385" s="34"/>
      <c r="O385" s="34"/>
      <c r="P385" s="34"/>
      <c r="Q385" s="34"/>
      <c r="R385" s="34"/>
      <c r="S385" s="34"/>
      <c r="T385" s="34"/>
      <c r="U385" s="34"/>
      <c r="V385" s="34"/>
      <c r="W385" s="34"/>
      <c r="X385" s="34"/>
      <c r="Y385" s="34"/>
      <c r="Z385" s="36"/>
      <c r="AA385" s="36"/>
      <c r="AB385" s="36"/>
      <c r="AC385" s="36"/>
      <c r="AD385" s="36"/>
      <c r="AE385" s="36"/>
      <c r="AF385" s="36"/>
      <c r="AG385" s="36"/>
      <c r="AH385" s="36"/>
    </row>
    <row r="386">
      <c r="A386" s="37" t="s">
        <v>38</v>
      </c>
      <c r="B386" s="40" t="s">
        <v>835</v>
      </c>
      <c r="C386" s="37" t="s">
        <v>836</v>
      </c>
      <c r="D386" s="37" t="str">
        <f>IFERROR(__xludf.DUMMYFUNCTION("GOOGLETRANSLATE(C386,""en"",""fr"")"),"Le patient présente un risque de pneumonie.")</f>
        <v>Le patient présente un risque de pneumonie.</v>
      </c>
      <c r="E386" s="37" t="str">
        <f>IFERROR(__xludf.DUMMYFUNCTION("GOOGLETRANSLATE(C386,""en"",""ht"")"),"Pasyan an gen risk pou l gen nemoni")</f>
        <v>Pasyan an gen risk pou l gen nemoni</v>
      </c>
      <c r="F386" s="34"/>
      <c r="G386" s="34"/>
      <c r="H386" s="34"/>
      <c r="I386" s="34"/>
      <c r="K386" s="37" t="s">
        <v>182</v>
      </c>
      <c r="L386" s="34"/>
      <c r="M386" s="34"/>
      <c r="N386" s="34"/>
      <c r="O386" s="34"/>
      <c r="P386" s="34"/>
      <c r="Q386" s="34"/>
      <c r="R386" s="34"/>
      <c r="S386" s="34"/>
      <c r="T386" s="34"/>
      <c r="U386" s="34"/>
      <c r="V386" s="34"/>
      <c r="W386" s="34"/>
      <c r="X386" s="34"/>
      <c r="Y386" s="34"/>
      <c r="Z386" s="36"/>
      <c r="AA386" s="36"/>
      <c r="AB386" s="36"/>
      <c r="AC386" s="36"/>
      <c r="AD386" s="36"/>
      <c r="AE386" s="36"/>
      <c r="AF386" s="36"/>
      <c r="AG386" s="36"/>
      <c r="AH386" s="36"/>
    </row>
    <row r="387">
      <c r="A387" s="37" t="s">
        <v>38</v>
      </c>
      <c r="B387" s="40" t="s">
        <v>837</v>
      </c>
      <c r="C387" s="37" t="s">
        <v>838</v>
      </c>
      <c r="D387" s="37" t="str">
        <f>IFERROR(__xludf.DUMMYFUNCTION("GOOGLETRANSLATE(C387,""en"",""fr"")"),"Protocole :
Distribuer 15 comprimés d’amoxicilline 500 mg à prendre 3 fois par jour pendant 5 jours")</f>
        <v>Protocole :
Distribuer 15 comprimés d’amoxicilline 500 mg à prendre 3 fois par jour pendant 5 jours</v>
      </c>
      <c r="E387" s="37" t="str">
        <f>IFERROR(__xludf.DUMMYFUNCTION("GOOGLETRANSLATE(C387,""en"",""ht"")"),"Pwotokòl:
- Distribye 15 grenn amoksisilin 500mg pou pran 3 fwa pa jou pandan 5 jou.")</f>
        <v>Pwotokòl:
- Distribye 15 grenn amoksisilin 500mg pou pran 3 fwa pa jou pandan 5 jou.</v>
      </c>
      <c r="F387" s="34"/>
      <c r="G387" s="34"/>
      <c r="H387" s="34"/>
      <c r="I387" s="34"/>
      <c r="J387" s="34"/>
      <c r="K387" s="34"/>
      <c r="L387" s="34"/>
      <c r="M387" s="34"/>
      <c r="N387" s="34"/>
      <c r="O387" s="34"/>
      <c r="P387" s="34"/>
      <c r="Q387" s="34"/>
      <c r="R387" s="34"/>
      <c r="S387" s="34"/>
      <c r="T387" s="34"/>
      <c r="U387" s="34"/>
      <c r="V387" s="34"/>
      <c r="W387" s="34"/>
      <c r="X387" s="34"/>
      <c r="Y387" s="34"/>
      <c r="Z387" s="36"/>
      <c r="AA387" s="36"/>
      <c r="AB387" s="36"/>
      <c r="AC387" s="36"/>
      <c r="AD387" s="36"/>
      <c r="AE387" s="36"/>
      <c r="AF387" s="36"/>
      <c r="AG387" s="36"/>
      <c r="AH387" s="36"/>
    </row>
    <row r="388">
      <c r="A388" s="37" t="s">
        <v>38</v>
      </c>
      <c r="B388" s="40" t="s">
        <v>839</v>
      </c>
      <c r="C388" s="37" t="s">
        <v>840</v>
      </c>
      <c r="D388" s="37" t="str">
        <f>IFERROR(__xludf.DUMMYFUNCTION("GOOGLETRANSLATE(C388,""en"",""fr"")"),"Conseils :
- Conseiller au patient de suivre le traitement antibiotique complet de 5 jours, même s’il se sent mieux.
- Conseiller au patient de se rendre à l’hôpital si aucune amélioration n’est constatée après deux jours.")</f>
        <v>Conseils :
- Conseiller au patient de suivre le traitement antibiotique complet de 5 jours, même s’il se sent mieux.
- Conseiller au patient de se rendre à l’hôpital si aucune amélioration n’est constatée après deux jours.</v>
      </c>
      <c r="E388" s="37" t="str">
        <f>IFERROR(__xludf.DUMMYFUNCTION("GOOGLETRANSLATE(C388,""en"",""ht"")"),"Konsèy:
- Konseye pasyan an pou l pran tretman antibyotik 5 jou a nèt menm si l santi l pi byen
- Konseye pasyan an pou l ale lopital si pa gen amelyorasyon apre de jou.")</f>
        <v>Konsèy:
- Konseye pasyan an pou l pran tretman antibyotik 5 jou a nèt menm si l santi l pi byen
- Konseye pasyan an pou l ale lopital si pa gen amelyorasyon apre de jou.</v>
      </c>
      <c r="F388" s="34"/>
      <c r="G388" s="34"/>
      <c r="H388" s="34"/>
      <c r="I388" s="34"/>
      <c r="J388" s="34"/>
      <c r="K388" s="34"/>
      <c r="L388" s="34"/>
      <c r="M388" s="34"/>
      <c r="N388" s="34"/>
      <c r="O388" s="34"/>
      <c r="P388" s="34"/>
      <c r="Q388" s="34"/>
      <c r="R388" s="34"/>
      <c r="S388" s="34"/>
      <c r="T388" s="34"/>
      <c r="U388" s="34"/>
      <c r="V388" s="34"/>
      <c r="W388" s="34"/>
      <c r="X388" s="34"/>
      <c r="Y388" s="34"/>
      <c r="Z388" s="36"/>
      <c r="AA388" s="36"/>
      <c r="AB388" s="36"/>
      <c r="AC388" s="36"/>
      <c r="AD388" s="36"/>
      <c r="AE388" s="36"/>
      <c r="AF388" s="36"/>
      <c r="AG388" s="36"/>
      <c r="AH388" s="36"/>
    </row>
    <row r="389">
      <c r="A389" s="37" t="s">
        <v>445</v>
      </c>
      <c r="B389" s="40" t="s">
        <v>841</v>
      </c>
      <c r="C389" s="37" t="s">
        <v>842</v>
      </c>
      <c r="D389" s="37" t="str">
        <f>IFERROR(__xludf.DUMMYFUNCTION("GOOGLETRANSLATE(C389,""en"",""fr"")"),"Avez-vous distribué 15 comprimés d'amoxicilline 500 mg ?")</f>
        <v>Avez-vous distribué 15 comprimés d'amoxicilline 500 mg ?</v>
      </c>
      <c r="E389" s="37" t="str">
        <f>IFERROR(__xludf.DUMMYFUNCTION("GOOGLETRANSLATE(C389,""en"",""ht"")"),"Èske ou te distribye 15 Amoksisilin 500mg?")</f>
        <v>Èske ou te distribye 15 Amoksisilin 500mg?</v>
      </c>
      <c r="F389" s="34"/>
      <c r="G389" s="34"/>
      <c r="H389" s="34"/>
      <c r="I389" s="34"/>
      <c r="J389" s="34"/>
      <c r="K389" s="34"/>
      <c r="L389" s="34"/>
      <c r="M389" s="34"/>
      <c r="N389" s="34"/>
      <c r="O389" s="34"/>
      <c r="P389" s="34"/>
      <c r="Q389" s="34"/>
      <c r="R389" s="34"/>
      <c r="S389" s="34"/>
      <c r="T389" s="34"/>
      <c r="U389" s="34"/>
      <c r="V389" s="34"/>
      <c r="W389" s="34"/>
      <c r="X389" s="34"/>
      <c r="Y389" s="34"/>
      <c r="Z389" s="36"/>
      <c r="AA389" s="36"/>
      <c r="AB389" s="36"/>
      <c r="AC389" s="36"/>
      <c r="AD389" s="36"/>
      <c r="AE389" s="36"/>
      <c r="AF389" s="36"/>
      <c r="AG389" s="36"/>
      <c r="AH389" s="36"/>
    </row>
    <row r="390">
      <c r="A390" s="37" t="s">
        <v>102</v>
      </c>
      <c r="B390" s="40" t="s">
        <v>843</v>
      </c>
      <c r="C390" s="37" t="s">
        <v>54</v>
      </c>
      <c r="D390" s="37" t="str">
        <f>IFERROR(__xludf.DUMMYFUNCTION("GOOGLETRANSLATE(C390,""en"",""fr"")"),"SANS ÉTIQUETTE")</f>
        <v>SANS ÉTIQUETTE</v>
      </c>
      <c r="E390" s="37" t="str">
        <f>IFERROR(__xludf.DUMMYFUNCTION("GOOGLETRANSLATE(C390,""en"",""ht"")"),"PA GEN_ETIKÈT")</f>
        <v>PA GEN_ETIKÈT</v>
      </c>
      <c r="F390" s="34"/>
      <c r="G390" s="34"/>
      <c r="H390" s="34"/>
      <c r="I390" s="34"/>
      <c r="J390" s="34"/>
      <c r="K390" s="34"/>
      <c r="L390" s="34"/>
      <c r="M390" s="34"/>
      <c r="N390" s="34"/>
      <c r="O390" s="34"/>
      <c r="P390" s="34"/>
      <c r="Q390" s="37" t="s">
        <v>844</v>
      </c>
      <c r="R390" s="34"/>
      <c r="S390" s="34"/>
      <c r="T390" s="34"/>
      <c r="U390" s="34"/>
      <c r="V390" s="34"/>
      <c r="W390" s="34"/>
      <c r="X390" s="34"/>
      <c r="Y390" s="34"/>
      <c r="Z390" s="36"/>
      <c r="AA390" s="36"/>
      <c r="AB390" s="36"/>
      <c r="AC390" s="36"/>
      <c r="AD390" s="36"/>
      <c r="AE390" s="36"/>
      <c r="AF390" s="36"/>
      <c r="AG390" s="36"/>
      <c r="AH390" s="36"/>
    </row>
    <row r="391">
      <c r="A391" s="37" t="s">
        <v>451</v>
      </c>
      <c r="B391" s="40" t="s">
        <v>845</v>
      </c>
      <c r="C391" s="37" t="s">
        <v>453</v>
      </c>
      <c r="D391" s="37" t="str">
        <f>IFERROR(__xludf.DUMMYFUNCTION("GOOGLETRANSLATE(C391,""en"",""fr"")"),"Vous avez laissé au moins une confirmation de médicament vide. Si cela est intentionnel, veuillez indiquer pourquoi ci-dessous.")</f>
        <v>Vous avez laissé au moins une confirmation de médicament vide. Si cela est intentionnel, veuillez indiquer pourquoi ci-dessous.</v>
      </c>
      <c r="E391" s="37" t="str">
        <f>IFERROR(__xludf.DUMMYFUNCTION("GOOGLETRANSLATE(C391,""en"",""ht"")"),"Ou kite omwen yon konfimasyon medikaman vid. Si se espre, ekri poukisa anba a.")</f>
        <v>Ou kite omwen yon konfimasyon medikaman vid. Si se espre, ekri poukisa anba a.</v>
      </c>
      <c r="F391" s="37" t="s">
        <v>454</v>
      </c>
      <c r="G391" s="37" t="str">
        <f>IFERROR(__xludf.DUMMYFUNCTION("GOOGLETRANSLATE(F391,""en"",""fr"")"),"Si vous avez distribué une quantité différente de médicaments, notez combien.")</f>
        <v>Si vous avez distribué une quantité différente de médicaments, notez combien.</v>
      </c>
      <c r="H391" s="37" t="str">
        <f>IFERROR(__xludf.DUMMYFUNCTION("GOOGLETRANSLATE(F391,""en"",""ht"")"),"Si ou te distribye yon kantite dwòg diferan, anrejistre konbyen.")</f>
        <v>Si ou te distribye yon kantite dwòg diferan, anrejistre konbyen.</v>
      </c>
      <c r="I391" s="37" t="s">
        <v>68</v>
      </c>
      <c r="J391" s="37" t="s">
        <v>846</v>
      </c>
      <c r="K391" s="34"/>
      <c r="L391" s="34"/>
      <c r="M391" s="34"/>
      <c r="N391" s="34"/>
      <c r="O391" s="34"/>
      <c r="P391" s="34"/>
      <c r="Q391" s="34"/>
      <c r="R391" s="34"/>
      <c r="S391" s="34"/>
      <c r="T391" s="34"/>
      <c r="U391" s="34"/>
      <c r="V391" s="34"/>
      <c r="W391" s="34"/>
      <c r="X391" s="34"/>
      <c r="Y391" s="34"/>
      <c r="Z391" s="36"/>
      <c r="AA391" s="36"/>
      <c r="AB391" s="36"/>
      <c r="AC391" s="36"/>
      <c r="AD391" s="36"/>
      <c r="AE391" s="36"/>
      <c r="AF391" s="36"/>
      <c r="AG391" s="36"/>
      <c r="AH391" s="36"/>
    </row>
    <row r="392">
      <c r="A392" s="37" t="s">
        <v>451</v>
      </c>
      <c r="B392" s="40" t="s">
        <v>847</v>
      </c>
      <c r="C392" s="37" t="s">
        <v>457</v>
      </c>
      <c r="D392" s="37" t="str">
        <f>IFERROR(__xludf.DUMMYFUNCTION("GOOGLETRANSLATE(C392,""en"",""fr"")"),"Notes cliniques :")</f>
        <v>Notes cliniques :</v>
      </c>
      <c r="E392" s="37" t="str">
        <f>IFERROR(__xludf.DUMMYFUNCTION("GOOGLETRANSLATE(C392,""en"",""ht"")"),"Nòt klinik:")</f>
        <v>Nòt klinik:</v>
      </c>
      <c r="F392" s="34"/>
      <c r="G392" s="34"/>
      <c r="H392" s="34"/>
      <c r="I392" s="34"/>
      <c r="J392" s="34"/>
      <c r="K392" s="34"/>
      <c r="L392" s="34"/>
      <c r="M392" s="34"/>
      <c r="N392" s="34"/>
      <c r="O392" s="34"/>
      <c r="P392" s="34"/>
      <c r="Q392" s="34"/>
      <c r="R392" s="34"/>
      <c r="S392" s="34"/>
      <c r="T392" s="34"/>
      <c r="U392" s="34"/>
      <c r="V392" s="34"/>
      <c r="W392" s="34"/>
      <c r="X392" s="34"/>
      <c r="Y392" s="34"/>
      <c r="Z392" s="36"/>
      <c r="AA392" s="36"/>
      <c r="AB392" s="36"/>
      <c r="AC392" s="36"/>
      <c r="AD392" s="36"/>
      <c r="AE392" s="36"/>
      <c r="AF392" s="36"/>
      <c r="AG392" s="36"/>
      <c r="AH392" s="36"/>
    </row>
    <row r="393">
      <c r="A393" s="37" t="s">
        <v>82</v>
      </c>
      <c r="B393" s="40" t="s">
        <v>832</v>
      </c>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6"/>
      <c r="AA393" s="36"/>
      <c r="AB393" s="36"/>
      <c r="AC393" s="36"/>
      <c r="AD393" s="36"/>
      <c r="AE393" s="36"/>
      <c r="AF393" s="36"/>
      <c r="AG393" s="36"/>
      <c r="AH393" s="36"/>
    </row>
    <row r="394">
      <c r="A394" s="37" t="s">
        <v>49</v>
      </c>
      <c r="B394" s="40" t="s">
        <v>848</v>
      </c>
      <c r="C394" s="37" t="s">
        <v>345</v>
      </c>
      <c r="D394" s="37" t="s">
        <v>849</v>
      </c>
      <c r="E394" s="37" t="s">
        <v>850</v>
      </c>
      <c r="F394" s="34"/>
      <c r="G394" s="34"/>
      <c r="H394" s="34"/>
      <c r="I394" s="34"/>
      <c r="J394" s="37" t="s">
        <v>346</v>
      </c>
      <c r="K394" s="37" t="s">
        <v>58</v>
      </c>
      <c r="L394" s="34"/>
      <c r="M394" s="34"/>
      <c r="N394" s="34"/>
      <c r="O394" s="34"/>
      <c r="P394" s="34"/>
      <c r="Q394" s="34"/>
      <c r="R394" s="34"/>
      <c r="S394" s="34"/>
      <c r="T394" s="34"/>
      <c r="U394" s="34"/>
      <c r="V394" s="34"/>
      <c r="W394" s="34"/>
      <c r="X394" s="34"/>
      <c r="Y394" s="34"/>
      <c r="Z394" s="36"/>
      <c r="AA394" s="36"/>
      <c r="AB394" s="36"/>
      <c r="AC394" s="36"/>
      <c r="AD394" s="36"/>
      <c r="AE394" s="36"/>
      <c r="AF394" s="36"/>
      <c r="AG394" s="36"/>
      <c r="AH394" s="36"/>
    </row>
    <row r="395">
      <c r="A395" s="37" t="s">
        <v>38</v>
      </c>
      <c r="B395" s="40" t="s">
        <v>851</v>
      </c>
      <c r="C395" s="37" t="s">
        <v>852</v>
      </c>
      <c r="D395" s="37" t="str">
        <f>IFERROR(__xludf.DUMMYFUNCTION("GOOGLETRANSLATE(C395,""en"",""fr"")"),"Le patient présente un syndrome grippal.")</f>
        <v>Le patient présente un syndrome grippal.</v>
      </c>
      <c r="E395" s="37" t="str">
        <f>IFERROR(__xludf.DUMMYFUNCTION("GOOGLETRANSLATE(C395,""en"",""ht"")"),"Pasyan an gen Sendwòm Grip la")</f>
        <v>Pasyan an gen Sendwòm Grip la</v>
      </c>
      <c r="F395" s="34"/>
      <c r="G395" s="34"/>
      <c r="H395" s="34"/>
      <c r="I395" s="34"/>
      <c r="K395" s="37" t="s">
        <v>182</v>
      </c>
      <c r="L395" s="34"/>
      <c r="M395" s="34"/>
      <c r="N395" s="34"/>
      <c r="O395" s="34"/>
      <c r="P395" s="34"/>
      <c r="Q395" s="34"/>
      <c r="R395" s="34"/>
      <c r="S395" s="34"/>
      <c r="T395" s="34"/>
      <c r="U395" s="34"/>
      <c r="V395" s="34"/>
      <c r="W395" s="34"/>
      <c r="X395" s="34"/>
      <c r="Y395" s="34"/>
      <c r="Z395" s="36"/>
      <c r="AA395" s="36"/>
      <c r="AB395" s="36"/>
      <c r="AC395" s="36"/>
      <c r="AD395" s="36"/>
      <c r="AE395" s="36"/>
      <c r="AF395" s="36"/>
      <c r="AG395" s="36"/>
      <c r="AH395" s="36"/>
    </row>
    <row r="396">
      <c r="A396" s="37" t="s">
        <v>38</v>
      </c>
      <c r="B396" s="40" t="s">
        <v>853</v>
      </c>
      <c r="C396" s="37" t="s">
        <v>854</v>
      </c>
      <c r="D396" s="37" t="str">
        <f>IFERROR(__xludf.DUMMYFUNCTION("GOOGLETRANSLATE(C396,""en"",""fr"")"),"Protocole :
- (À FAIRE : Le syndrome grippal n’est pas inclus dans les protocoles de soins pour adultes)
")</f>
        <v>Protocole :
- (À FAIRE : Le syndrome grippal n’est pas inclus dans les protocoles de soins pour adultes)
</v>
      </c>
      <c r="E396" s="37" t="str">
        <f>IFERROR(__xludf.DUMMYFUNCTION("GOOGLETRANSLATE(C396,""en"",""ht"")"),"Pwotokòl:
- (TODO: Sendwòm grip la pa enkli nan pwotokòl swen pou granmoun)
")</f>
        <v>Pwotokòl:
- (TODO: Sendwòm grip la pa enkli nan pwotokòl swen pou granmoun)
</v>
      </c>
      <c r="F396" s="34"/>
      <c r="G396" s="34"/>
      <c r="H396" s="34"/>
      <c r="I396" s="34"/>
      <c r="J396" s="34"/>
      <c r="K396" s="34"/>
      <c r="L396" s="34"/>
      <c r="M396" s="34"/>
      <c r="N396" s="34"/>
      <c r="O396" s="34"/>
      <c r="P396" s="34"/>
      <c r="Q396" s="34"/>
      <c r="R396" s="34"/>
      <c r="S396" s="34"/>
      <c r="T396" s="34"/>
      <c r="U396" s="34"/>
      <c r="V396" s="34"/>
      <c r="W396" s="34"/>
      <c r="X396" s="34"/>
      <c r="Y396" s="34"/>
      <c r="Z396" s="36"/>
      <c r="AA396" s="36"/>
      <c r="AB396" s="36"/>
      <c r="AC396" s="36"/>
      <c r="AD396" s="36"/>
      <c r="AE396" s="36"/>
      <c r="AF396" s="36"/>
      <c r="AG396" s="36"/>
      <c r="AH396" s="36"/>
    </row>
    <row r="397">
      <c r="A397" s="37" t="s">
        <v>38</v>
      </c>
      <c r="B397" s="40" t="s">
        <v>855</v>
      </c>
      <c r="C397" s="37" t="s">
        <v>444</v>
      </c>
      <c r="D397" s="37" t="str">
        <f>IFERROR(__xludf.DUMMYFUNCTION("GOOGLETRANSLATE(C397,""en"",""fr"")"),"Accompagnement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397" s="37" t="str">
        <f>IFERROR(__xludf.DUMMYFUNCTION("GOOGLETRANSLATE(C397,""en"",""ht"")"),"Konsèy:
- (Konsèy TODO pa bay nan pwotokòl swen yo - ajoute kòm espas vid pou fidbak enfimyè yo)")</f>
        <v>Konsèy:
- (Konsèy TODO pa bay nan pwotokòl swen yo - ajoute kòm espas vid pou fidbak enfimyè yo)</v>
      </c>
      <c r="F397" s="34"/>
      <c r="G397" s="34"/>
      <c r="H397" s="34"/>
      <c r="I397" s="34"/>
      <c r="J397" s="34"/>
      <c r="K397" s="34"/>
      <c r="L397" s="34"/>
      <c r="M397" s="34"/>
      <c r="N397" s="34"/>
      <c r="O397" s="34"/>
      <c r="P397" s="34"/>
      <c r="Q397" s="34"/>
      <c r="R397" s="34"/>
      <c r="S397" s="34"/>
      <c r="T397" s="34"/>
      <c r="U397" s="34"/>
      <c r="V397" s="34"/>
      <c r="W397" s="34"/>
      <c r="X397" s="34"/>
      <c r="Y397" s="34"/>
      <c r="Z397" s="36"/>
      <c r="AA397" s="36"/>
      <c r="AB397" s="36"/>
      <c r="AC397" s="36"/>
      <c r="AD397" s="36"/>
      <c r="AE397" s="36"/>
      <c r="AF397" s="36"/>
      <c r="AG397" s="36"/>
      <c r="AH397" s="36"/>
    </row>
    <row r="398">
      <c r="A398" s="37" t="s">
        <v>451</v>
      </c>
      <c r="B398" s="40" t="s">
        <v>856</v>
      </c>
      <c r="C398" s="37" t="s">
        <v>457</v>
      </c>
      <c r="D398" s="37" t="str">
        <f>IFERROR(__xludf.DUMMYFUNCTION("GOOGLETRANSLATE(C398,""en"",""fr"")"),"Notes cliniques :")</f>
        <v>Notes cliniques :</v>
      </c>
      <c r="E398" s="37" t="str">
        <f>IFERROR(__xludf.DUMMYFUNCTION("GOOGLETRANSLATE(C398,""en"",""ht"")"),"Nòt klinik:")</f>
        <v>Nòt klinik:</v>
      </c>
      <c r="F398" s="34"/>
      <c r="G398" s="34"/>
      <c r="H398" s="34"/>
      <c r="I398" s="34"/>
      <c r="J398" s="34"/>
      <c r="K398" s="34"/>
      <c r="L398" s="34"/>
      <c r="M398" s="34"/>
      <c r="N398" s="34"/>
      <c r="O398" s="34"/>
      <c r="P398" s="34"/>
      <c r="Q398" s="34"/>
      <c r="R398" s="34"/>
      <c r="S398" s="34"/>
      <c r="T398" s="34"/>
      <c r="U398" s="34"/>
      <c r="V398" s="34"/>
      <c r="W398" s="34"/>
      <c r="X398" s="34"/>
      <c r="Y398" s="34"/>
      <c r="Z398" s="36"/>
      <c r="AA398" s="36"/>
      <c r="AB398" s="36"/>
      <c r="AC398" s="36"/>
      <c r="AD398" s="36"/>
      <c r="AE398" s="36"/>
      <c r="AF398" s="36"/>
      <c r="AG398" s="36"/>
      <c r="AH398" s="36"/>
    </row>
    <row r="399">
      <c r="A399" s="37" t="s">
        <v>82</v>
      </c>
      <c r="B399" s="40" t="s">
        <v>848</v>
      </c>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6"/>
      <c r="AA399" s="36"/>
      <c r="AB399" s="36"/>
      <c r="AC399" s="36"/>
      <c r="AD399" s="36"/>
      <c r="AE399" s="36"/>
      <c r="AF399" s="36"/>
      <c r="AG399" s="36"/>
      <c r="AH399" s="36"/>
    </row>
    <row r="400">
      <c r="A400" s="37" t="s">
        <v>49</v>
      </c>
      <c r="B400" s="40" t="s">
        <v>857</v>
      </c>
      <c r="C400" s="37" t="s">
        <v>245</v>
      </c>
      <c r="D400" s="37" t="str">
        <f>IFERROR(__xludf.DUMMYFUNCTION("GOOGLETRANSLATE(C400,""en"",""fr"")"),"Paludisme positif")</f>
        <v>Paludisme positif</v>
      </c>
      <c r="E400" s="37" t="str">
        <f>IFERROR(__xludf.DUMMYFUNCTION("GOOGLETRANSLATE(C400,""en"",""ht"")"),"Malarya pozitif")</f>
        <v>Malarya pozitif</v>
      </c>
      <c r="F400" s="34"/>
      <c r="G400" s="34"/>
      <c r="H400" s="34"/>
      <c r="I400" s="34"/>
      <c r="J400" s="37" t="s">
        <v>858</v>
      </c>
      <c r="K400" s="37" t="s">
        <v>58</v>
      </c>
      <c r="L400" s="34"/>
      <c r="M400" s="34"/>
      <c r="N400" s="34"/>
      <c r="O400" s="34"/>
      <c r="P400" s="34"/>
      <c r="Q400" s="34"/>
      <c r="R400" s="34"/>
      <c r="S400" s="34"/>
      <c r="T400" s="34"/>
      <c r="U400" s="34"/>
      <c r="V400" s="34"/>
      <c r="W400" s="34"/>
      <c r="X400" s="34"/>
      <c r="Y400" s="34"/>
      <c r="Z400" s="36"/>
      <c r="AA400" s="36"/>
      <c r="AB400" s="36"/>
      <c r="AC400" s="36"/>
      <c r="AD400" s="36"/>
      <c r="AE400" s="36"/>
      <c r="AF400" s="36"/>
      <c r="AG400" s="36"/>
      <c r="AH400" s="36"/>
    </row>
    <row r="401">
      <c r="A401" s="37" t="s">
        <v>38</v>
      </c>
      <c r="B401" s="40" t="s">
        <v>859</v>
      </c>
      <c r="C401" s="37" t="s">
        <v>860</v>
      </c>
      <c r="D401" s="37" t="str">
        <f>IFERROR(__xludf.DUMMYFUNCTION("GOOGLETRANSLATE(C401,""en"",""fr"")"),"Le patient a été testé positif au paludisme.")</f>
        <v>Le patient a été testé positif au paludisme.</v>
      </c>
      <c r="E401" s="37" t="str">
        <f>IFERROR(__xludf.DUMMYFUNCTION("GOOGLETRANSLATE(C401,""en"",""ht"")"),"Pasyan an teste pozitif pou malarya")</f>
        <v>Pasyan an teste pozitif pou malarya</v>
      </c>
      <c r="F401" s="34"/>
      <c r="G401" s="34"/>
      <c r="H401" s="34"/>
      <c r="I401" s="34"/>
      <c r="K401" s="37" t="s">
        <v>197</v>
      </c>
      <c r="L401" s="34"/>
      <c r="M401" s="34"/>
      <c r="N401" s="34"/>
      <c r="O401" s="34"/>
      <c r="P401" s="34"/>
      <c r="Q401" s="34"/>
      <c r="R401" s="34"/>
      <c r="S401" s="34"/>
      <c r="T401" s="34"/>
      <c r="U401" s="34"/>
      <c r="V401" s="34"/>
      <c r="W401" s="34"/>
      <c r="X401" s="34"/>
      <c r="Y401" s="34"/>
      <c r="Z401" s="36"/>
      <c r="AA401" s="36"/>
      <c r="AB401" s="36"/>
      <c r="AC401" s="36"/>
      <c r="AD401" s="36"/>
      <c r="AE401" s="36"/>
      <c r="AF401" s="36"/>
      <c r="AG401" s="36"/>
      <c r="AH401" s="36"/>
    </row>
    <row r="402">
      <c r="A402" s="37" t="s">
        <v>38</v>
      </c>
      <c r="B402" s="40" t="s">
        <v>861</v>
      </c>
      <c r="C402" s="37" t="s">
        <v>862</v>
      </c>
      <c r="D402" s="37" t="str">
        <f>IFERROR(__xludf.DUMMYFUNCTION("GOOGLETRANSLATE(C402,""en"",""fr"")"),"Protocole :
- Distribuer 10 comprimés de chloroquine à 150 mg, à prendre comme suit : 4 comprimés le jour 1, 3 comprimés le jour 2 et 3 comprimés le jour 3.
")</f>
        <v>Protocole :
- Distribuer 10 comprimés de chloroquine à 150 mg, à prendre comme suit : 4 comprimés le jour 1, 3 comprimés le jour 2 et 3 comprimés le jour 3.
</v>
      </c>
      <c r="E402" s="37" t="str">
        <f>IFERROR(__xludf.DUMMYFUNCTION("GOOGLETRANSLATE(C402,""en"",""ht"")"),"Pwotokòl:
- Distribye 10 grenn klorokin 150mg pou pran jan sa a: 4 grenn nan premye jou a, 3 grenn nan dezyèm jou a, 3 grenn nan twazyèm jou a.")</f>
        <v>Pwotokòl:
- Distribye 10 grenn klorokin 150mg pou pran jan sa a: 4 grenn nan premye jou a, 3 grenn nan dezyèm jou a, 3 grenn nan twazyèm jou a.</v>
      </c>
      <c r="F402" s="34"/>
      <c r="H402" s="34"/>
      <c r="I402" s="34"/>
      <c r="J402" s="34"/>
      <c r="K402" s="34"/>
      <c r="L402" s="34"/>
      <c r="M402" s="34"/>
      <c r="N402" s="34"/>
      <c r="O402" s="34"/>
      <c r="P402" s="34"/>
      <c r="Q402" s="34"/>
      <c r="R402" s="34"/>
      <c r="S402" s="34"/>
      <c r="T402" s="34"/>
      <c r="U402" s="34"/>
      <c r="V402" s="34"/>
      <c r="W402" s="34"/>
      <c r="X402" s="34"/>
      <c r="Y402" s="34"/>
      <c r="Z402" s="36"/>
      <c r="AA402" s="36"/>
      <c r="AB402" s="36"/>
      <c r="AC402" s="36"/>
      <c r="AD402" s="36"/>
      <c r="AE402" s="36"/>
      <c r="AF402" s="36"/>
      <c r="AG402" s="36"/>
      <c r="AH402" s="36"/>
    </row>
    <row r="403">
      <c r="A403" s="37" t="s">
        <v>38</v>
      </c>
      <c r="B403" s="40" t="s">
        <v>863</v>
      </c>
      <c r="C403" s="37" t="s">
        <v>864</v>
      </c>
      <c r="D403" s="37" t="str">
        <f>IFERROR(__xludf.DUMMYFUNCTION("GOOGLETRANSLATE(C403,""en"",""fr"")"),"Conseils :
- Conseillez au patient de boire beaucoup de liquides.
- Conseillez au patient de surveiller les signes de danger tels qu'une altération de la conscience, une détresse respiratoire ou des douleurs abdominales.
- Si le patient remarque l'un d"&amp;"e ces signes de danger, rendez-vous à l'hôpital.")</f>
        <v>Conseils :
- Conseillez au patient de boire beaucoup de liquides.
- Conseillez au patient de surveiller les signes de danger tels qu'une altération de la conscience, une détresse respiratoire ou des douleurs abdominales.
- Si le patient remarque l'un de ces signes de danger, rendez-vous à l'hôpital.</v>
      </c>
      <c r="E403" s="37" t="str">
        <f>IFERROR(__xludf.DUMMYFUNCTION("GOOGLETRANSLATE(C403,""en"",""ht"")"),"Konsèy:
- Konseye pasyan an pou l bwè anpil likid
- Konseye pasyan an pou l veye siy danje tankou chanjman konsyans, detrès respiratwa, oswa doulè nan vant
- Si pasyan an remake nenpòt siy danje, ale lopital.")</f>
        <v>Konsèy:
- Konseye pasyan an pou l bwè anpil likid
- Konseye pasyan an pou l veye siy danje tankou chanjman konsyans, detrès respiratwa, oswa doulè nan vant
- Si pasyan an remake nenpòt siy danje, ale lopital.</v>
      </c>
      <c r="F403" s="34"/>
      <c r="H403" s="34"/>
      <c r="I403" s="34"/>
      <c r="J403" s="34"/>
      <c r="K403" s="34"/>
      <c r="L403" s="34"/>
      <c r="M403" s="34"/>
      <c r="N403" s="34"/>
      <c r="O403" s="34"/>
      <c r="P403" s="34"/>
      <c r="Q403" s="34"/>
      <c r="R403" s="34"/>
      <c r="S403" s="34"/>
      <c r="T403" s="34"/>
      <c r="U403" s="34"/>
      <c r="V403" s="34"/>
      <c r="W403" s="34"/>
      <c r="X403" s="34"/>
      <c r="Y403" s="34"/>
      <c r="Z403" s="36"/>
      <c r="AA403" s="36"/>
      <c r="AB403" s="36"/>
      <c r="AC403" s="36"/>
      <c r="AD403" s="36"/>
      <c r="AE403" s="36"/>
      <c r="AF403" s="36"/>
      <c r="AG403" s="36"/>
      <c r="AH403" s="36"/>
    </row>
    <row r="404">
      <c r="A404" s="37" t="s">
        <v>445</v>
      </c>
      <c r="B404" s="40" t="s">
        <v>865</v>
      </c>
      <c r="C404" s="37" t="s">
        <v>866</v>
      </c>
      <c r="D404" s="37" t="str">
        <f>IFERROR(__xludf.DUMMYFUNCTION("GOOGLETRANSLATE(C404,""en"",""fr"")"),"Avez-vous distribué 10 comprimés de chloroquine à 150 mg ?")</f>
        <v>Avez-vous distribué 10 comprimés de chloroquine à 150 mg ?</v>
      </c>
      <c r="E404" s="37" t="str">
        <f>IFERROR(__xludf.DUMMYFUNCTION("GOOGLETRANSLATE(C404,""en"",""ht"")"),"Èske ou te distribye 10 grenn klorokin 150mg?")</f>
        <v>Èske ou te distribye 10 grenn klorokin 150mg?</v>
      </c>
      <c r="F404" s="34"/>
      <c r="G404" s="34"/>
      <c r="H404" s="34"/>
      <c r="I404" s="34"/>
      <c r="J404" s="34"/>
      <c r="K404" s="34"/>
      <c r="L404" s="34"/>
      <c r="M404" s="34"/>
      <c r="N404" s="34"/>
      <c r="O404" s="34"/>
      <c r="P404" s="34"/>
      <c r="Q404" s="34"/>
      <c r="R404" s="34"/>
      <c r="S404" s="34"/>
      <c r="T404" s="34"/>
      <c r="U404" s="34"/>
      <c r="V404" s="34"/>
      <c r="W404" s="34"/>
      <c r="X404" s="34"/>
      <c r="Y404" s="34"/>
      <c r="Z404" s="36"/>
      <c r="AA404" s="36"/>
      <c r="AB404" s="36"/>
      <c r="AC404" s="36"/>
      <c r="AD404" s="36"/>
      <c r="AE404" s="36"/>
      <c r="AF404" s="36"/>
      <c r="AG404" s="36"/>
      <c r="AH404" s="36"/>
    </row>
    <row r="405">
      <c r="A405" s="37" t="s">
        <v>102</v>
      </c>
      <c r="B405" s="40" t="s">
        <v>867</v>
      </c>
      <c r="C405" s="37" t="s">
        <v>54</v>
      </c>
      <c r="D405" s="37" t="str">
        <f>IFERROR(__xludf.DUMMYFUNCTION("GOOGLETRANSLATE(C405,""en"",""fr"")"),"SANS ÉTIQUETTE")</f>
        <v>SANS ÉTIQUETTE</v>
      </c>
      <c r="E405" s="37" t="str">
        <f>IFERROR(__xludf.DUMMYFUNCTION("GOOGLETRANSLATE(C405,""en"",""ht"")"),"PA GEN_ETIKÈT")</f>
        <v>PA GEN_ETIKÈT</v>
      </c>
      <c r="F405" s="34"/>
      <c r="G405" s="34"/>
      <c r="H405" s="34"/>
      <c r="I405" s="34"/>
      <c r="J405" s="34"/>
      <c r="K405" s="34"/>
      <c r="L405" s="34"/>
      <c r="M405" s="34"/>
      <c r="N405" s="34"/>
      <c r="O405" s="34"/>
      <c r="P405" s="34"/>
      <c r="Q405" s="37" t="s">
        <v>868</v>
      </c>
      <c r="R405" s="34"/>
      <c r="S405" s="34"/>
      <c r="T405" s="34"/>
      <c r="U405" s="34"/>
      <c r="V405" s="34"/>
      <c r="W405" s="34"/>
      <c r="X405" s="34"/>
      <c r="Y405" s="34"/>
      <c r="Z405" s="36"/>
      <c r="AA405" s="36"/>
      <c r="AB405" s="36"/>
      <c r="AC405" s="36"/>
      <c r="AD405" s="36"/>
      <c r="AE405" s="36"/>
      <c r="AF405" s="36"/>
      <c r="AG405" s="36"/>
      <c r="AH405" s="36"/>
    </row>
    <row r="406">
      <c r="A406" s="37" t="s">
        <v>451</v>
      </c>
      <c r="B406" s="40" t="s">
        <v>869</v>
      </c>
      <c r="C406" s="37" t="s">
        <v>453</v>
      </c>
      <c r="D406" s="37" t="str">
        <f>IFERROR(__xludf.DUMMYFUNCTION("GOOGLETRANSLATE(C406,""en"",""fr"")"),"Vous avez laissé au moins une confirmation de médicament vide. Si cela est intentionnel, veuillez indiquer pourquoi ci-dessous.")</f>
        <v>Vous avez laissé au moins une confirmation de médicament vide. Si cela est intentionnel, veuillez indiquer pourquoi ci-dessous.</v>
      </c>
      <c r="E406" s="37" t="str">
        <f>IFERROR(__xludf.DUMMYFUNCTION("GOOGLETRANSLATE(C406,""en"",""ht"")"),"Ou kite omwen yon konfimasyon medikaman vid. Si se espre, ekri poukisa anba a.")</f>
        <v>Ou kite omwen yon konfimasyon medikaman vid. Si se espre, ekri poukisa anba a.</v>
      </c>
      <c r="F406" s="37" t="s">
        <v>454</v>
      </c>
      <c r="G406" s="37" t="str">
        <f>IFERROR(__xludf.DUMMYFUNCTION("GOOGLETRANSLATE(F406,""en"",""fr"")"),"Si vous avez distribué une quantité différente de médicaments, notez combien.")</f>
        <v>Si vous avez distribué une quantité différente de médicaments, notez combien.</v>
      </c>
      <c r="H406" s="37" t="str">
        <f>IFERROR(__xludf.DUMMYFUNCTION("GOOGLETRANSLATE(F406,""en"",""ht"")"),"Si ou te distribye yon kantite dwòg diferan, anrejistre konbyen.")</f>
        <v>Si ou te distribye yon kantite dwòg diferan, anrejistre konbyen.</v>
      </c>
      <c r="I406" s="37" t="s">
        <v>68</v>
      </c>
      <c r="J406" s="37" t="s">
        <v>870</v>
      </c>
      <c r="K406" s="34"/>
      <c r="L406" s="34"/>
      <c r="M406" s="34"/>
      <c r="N406" s="34"/>
      <c r="O406" s="34"/>
      <c r="P406" s="34"/>
      <c r="Q406" s="34"/>
      <c r="R406" s="34"/>
      <c r="S406" s="34"/>
      <c r="T406" s="34"/>
      <c r="U406" s="34"/>
      <c r="V406" s="34"/>
      <c r="W406" s="34"/>
      <c r="X406" s="34"/>
      <c r="Y406" s="34"/>
      <c r="Z406" s="36"/>
      <c r="AA406" s="36"/>
      <c r="AB406" s="36"/>
      <c r="AC406" s="36"/>
      <c r="AD406" s="36"/>
      <c r="AE406" s="36"/>
      <c r="AF406" s="36"/>
      <c r="AG406" s="36"/>
      <c r="AH406" s="36"/>
    </row>
    <row r="407">
      <c r="A407" s="37" t="s">
        <v>451</v>
      </c>
      <c r="B407" s="40" t="s">
        <v>871</v>
      </c>
      <c r="C407" s="37" t="s">
        <v>457</v>
      </c>
      <c r="D407" s="37" t="str">
        <f>IFERROR(__xludf.DUMMYFUNCTION("GOOGLETRANSLATE(C407,""en"",""fr"")"),"Notes cliniques :")</f>
        <v>Notes cliniques :</v>
      </c>
      <c r="E407" s="37" t="str">
        <f>IFERROR(__xludf.DUMMYFUNCTION("GOOGLETRANSLATE(C407,""en"",""ht"")"),"Nòt klinik:")</f>
        <v>Nòt klinik:</v>
      </c>
      <c r="F407" s="34"/>
      <c r="G407" s="34"/>
      <c r="H407" s="34"/>
      <c r="I407" s="34"/>
      <c r="J407" s="34"/>
      <c r="K407" s="34"/>
      <c r="L407" s="34"/>
      <c r="M407" s="34"/>
      <c r="N407" s="34"/>
      <c r="O407" s="34"/>
      <c r="P407" s="34"/>
      <c r="Q407" s="34"/>
      <c r="R407" s="34"/>
      <c r="S407" s="34"/>
      <c r="T407" s="34"/>
      <c r="U407" s="34"/>
      <c r="V407" s="34"/>
      <c r="W407" s="34"/>
      <c r="X407" s="34"/>
      <c r="Y407" s="34"/>
      <c r="Z407" s="36"/>
      <c r="AA407" s="36"/>
      <c r="AB407" s="36"/>
      <c r="AC407" s="36"/>
      <c r="AD407" s="36"/>
      <c r="AE407" s="36"/>
      <c r="AF407" s="36"/>
      <c r="AG407" s="36"/>
      <c r="AH407" s="36"/>
    </row>
    <row r="408">
      <c r="A408" s="37" t="s">
        <v>82</v>
      </c>
      <c r="B408" s="40" t="s">
        <v>857</v>
      </c>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6"/>
      <c r="AA408" s="36"/>
      <c r="AB408" s="36"/>
      <c r="AC408" s="36"/>
      <c r="AD408" s="36"/>
      <c r="AE408" s="36"/>
      <c r="AF408" s="36"/>
      <c r="AG408" s="36"/>
      <c r="AH408" s="36"/>
    </row>
    <row r="409">
      <c r="A409" s="37" t="s">
        <v>49</v>
      </c>
      <c r="B409" s="40" t="s">
        <v>872</v>
      </c>
      <c r="C409" s="37" t="s">
        <v>252</v>
      </c>
      <c r="D409" s="37" t="str">
        <f>IFERROR(__xludf.DUMMYFUNCTION("GOOGLETRANSLATE(C409,""en"",""fr"")"),"Test négatif au paludisme")</f>
        <v>Test négatif au paludisme</v>
      </c>
      <c r="E409" s="37" t="str">
        <f>IFERROR(__xludf.DUMMYFUNCTION("GOOGLETRANSLATE(C409,""en"",""ht"")"),"Malarya Negatif")</f>
        <v>Malarya Negatif</v>
      </c>
      <c r="F409" s="34"/>
      <c r="G409" s="34"/>
      <c r="H409" s="34"/>
      <c r="I409" s="34"/>
      <c r="J409" s="37" t="s">
        <v>873</v>
      </c>
      <c r="K409" s="37" t="s">
        <v>58</v>
      </c>
      <c r="L409" s="34"/>
      <c r="M409" s="34"/>
      <c r="N409" s="34"/>
      <c r="O409" s="34"/>
      <c r="P409" s="34"/>
      <c r="Q409" s="34"/>
      <c r="R409" s="34"/>
      <c r="S409" s="34"/>
      <c r="T409" s="34"/>
      <c r="U409" s="34"/>
      <c r="V409" s="34"/>
      <c r="W409" s="34"/>
      <c r="X409" s="34"/>
      <c r="Y409" s="34"/>
      <c r="Z409" s="36"/>
      <c r="AA409" s="36"/>
      <c r="AB409" s="36"/>
      <c r="AC409" s="36"/>
      <c r="AD409" s="36"/>
      <c r="AE409" s="36"/>
      <c r="AF409" s="36"/>
      <c r="AG409" s="36"/>
      <c r="AH409" s="36"/>
    </row>
    <row r="410">
      <c r="A410" s="37" t="s">
        <v>38</v>
      </c>
      <c r="B410" s="40" t="s">
        <v>874</v>
      </c>
      <c r="C410" s="37" t="s">
        <v>875</v>
      </c>
      <c r="D410" s="37" t="str">
        <f>IFERROR(__xludf.DUMMYFUNCTION("GOOGLETRANSLATE(C410,""en"",""fr"")"),"Le patient a été testé négatif au paludisme.")</f>
        <v>Le patient a été testé négatif au paludisme.</v>
      </c>
      <c r="E410" s="37" t="str">
        <f>IFERROR(__xludf.DUMMYFUNCTION("GOOGLETRANSLATE(C410,""en"",""ht"")"),"Pasyan an fè tès negatif pou malarya")</f>
        <v>Pasyan an fè tès negatif pou malarya</v>
      </c>
      <c r="F410" s="34"/>
      <c r="G410" s="34"/>
      <c r="H410" s="34"/>
      <c r="I410" s="34"/>
      <c r="K410" s="37" t="s">
        <v>182</v>
      </c>
      <c r="L410" s="34"/>
      <c r="M410" s="34"/>
      <c r="N410" s="34"/>
      <c r="O410" s="34"/>
      <c r="P410" s="34"/>
      <c r="Q410" s="34"/>
      <c r="R410" s="34"/>
      <c r="S410" s="34"/>
      <c r="T410" s="34"/>
      <c r="U410" s="34"/>
      <c r="V410" s="34"/>
      <c r="W410" s="34"/>
      <c r="X410" s="34"/>
      <c r="Y410" s="34"/>
      <c r="Z410" s="36"/>
      <c r="AA410" s="36"/>
      <c r="AB410" s="36"/>
      <c r="AC410" s="36"/>
      <c r="AD410" s="36"/>
      <c r="AE410" s="36"/>
      <c r="AF410" s="36"/>
      <c r="AG410" s="36"/>
      <c r="AH410" s="36"/>
    </row>
    <row r="411">
      <c r="A411" s="37" t="s">
        <v>38</v>
      </c>
      <c r="B411" s="40" t="s">
        <v>876</v>
      </c>
      <c r="C411" s="37" t="s">
        <v>877</v>
      </c>
      <c r="D411" s="37" t="str">
        <f>IFERROR(__xludf.DUMMYFUNCTION("GOOGLETRANSLATE(C411,""en"",""fr"")"),"Protocole :
Distribuer 18 comprimés de paracétamol 500 mg, à prendre à raison de 1 à 2 comprimés 3 fois par jour pendant 3 jours.")</f>
        <v>Protocole :
Distribuer 18 comprimés de paracétamol 500 mg, à prendre à raison de 1 à 2 comprimés 3 fois par jour pendant 3 jours.</v>
      </c>
      <c r="E411" s="37" t="str">
        <f>IFERROR(__xludf.DUMMYFUNCTION("GOOGLETRANSLATE(C411,""en"",""ht"")"),"Pwotokòl:
- Distribye 18 grenn Parasetamol 500 pou pran 1-2 grenn 3 fwa pa jou pandan 3 jou.")</f>
        <v>Pwotokòl:
- Distribye 18 grenn Parasetamol 500 pou pran 1-2 grenn 3 fwa pa jou pandan 3 jou.</v>
      </c>
      <c r="F411" s="34"/>
      <c r="G411" s="39"/>
      <c r="H411" s="34"/>
      <c r="I411" s="34"/>
      <c r="J411" s="34"/>
      <c r="K411" s="34"/>
      <c r="L411" s="34"/>
      <c r="M411" s="34"/>
      <c r="N411" s="34"/>
      <c r="O411" s="34"/>
      <c r="P411" s="34"/>
      <c r="Q411" s="34"/>
      <c r="R411" s="34"/>
      <c r="S411" s="34"/>
      <c r="T411" s="34"/>
      <c r="U411" s="34"/>
      <c r="V411" s="34"/>
      <c r="W411" s="34"/>
      <c r="X411" s="34"/>
      <c r="Y411" s="34"/>
      <c r="Z411" s="36"/>
      <c r="AA411" s="36"/>
      <c r="AB411" s="36"/>
      <c r="AC411" s="36"/>
      <c r="AD411" s="36"/>
      <c r="AE411" s="36"/>
      <c r="AF411" s="36"/>
      <c r="AG411" s="36"/>
      <c r="AH411" s="36"/>
    </row>
    <row r="412">
      <c r="A412" s="37" t="s">
        <v>38</v>
      </c>
      <c r="B412" s="40" t="s">
        <v>878</v>
      </c>
      <c r="C412" s="37" t="s">
        <v>864</v>
      </c>
      <c r="D412" s="37" t="str">
        <f>IFERROR(__xludf.DUMMYFUNCTION("GOOGLETRANSLATE(C412,""en"",""fr"")"),"Conseils :
- Conseillez au patient de boire beaucoup de liquides.
- Conseillez au patient de surveiller les signes de danger tels qu'une altération de la conscience, une détresse respiratoire ou des douleurs abdominales.
- Si le patient remarque l'un d"&amp;"e ces signes de danger, rendez-vous à l'hôpital.")</f>
        <v>Conseils :
- Conseillez au patient de boire beaucoup de liquides.
- Conseillez au patient de surveiller les signes de danger tels qu'une altération de la conscience, une détresse respiratoire ou des douleurs abdominales.
- Si le patient remarque l'un de ces signes de danger, rendez-vous à l'hôpital.</v>
      </c>
      <c r="E412" s="37" t="str">
        <f>IFERROR(__xludf.DUMMYFUNCTION("GOOGLETRANSLATE(C412,""en"",""ht"")"),"Konsèy:
- Konseye pasyan an pou l bwè anpil likid
- Konseye pasyan an pou l veye siy danje tankou chanjman konsyans, detrès respiratwa, oswa doulè nan vant
- Si pasyan an remake nenpòt siy danje, ale lopital.")</f>
        <v>Konsèy:
- Konseye pasyan an pou l bwè anpil likid
- Konseye pasyan an pou l veye siy danje tankou chanjman konsyans, detrès respiratwa, oswa doulè nan vant
- Si pasyan an remake nenpòt siy danje, ale lopital.</v>
      </c>
      <c r="F412" s="34"/>
      <c r="G412" s="34"/>
      <c r="H412" s="34"/>
      <c r="I412" s="34"/>
      <c r="J412" s="34"/>
      <c r="K412" s="34"/>
      <c r="L412" s="34"/>
      <c r="M412" s="34"/>
      <c r="N412" s="34"/>
      <c r="O412" s="34"/>
      <c r="P412" s="34"/>
      <c r="Q412" s="34"/>
      <c r="R412" s="34"/>
      <c r="S412" s="34"/>
      <c r="T412" s="34"/>
      <c r="U412" s="34"/>
      <c r="V412" s="34"/>
      <c r="W412" s="34"/>
      <c r="X412" s="34"/>
      <c r="Y412" s="34"/>
      <c r="Z412" s="36"/>
      <c r="AA412" s="36"/>
      <c r="AB412" s="36"/>
      <c r="AC412" s="36"/>
      <c r="AD412" s="36"/>
      <c r="AE412" s="36"/>
      <c r="AF412" s="36"/>
      <c r="AG412" s="36"/>
      <c r="AH412" s="36"/>
    </row>
    <row r="413">
      <c r="A413" s="37" t="s">
        <v>445</v>
      </c>
      <c r="B413" s="40" t="s">
        <v>879</v>
      </c>
      <c r="C413" s="37" t="s">
        <v>880</v>
      </c>
      <c r="D413" s="37" t="str">
        <f>IFERROR(__xludf.DUMMYFUNCTION("GOOGLETRANSLATE(C413,""en"",""fr"")"),"Avez-vous distribué 18 comprimés de paracétamol 500 mg ?")</f>
        <v>Avez-vous distribué 18 comprimés de paracétamol 500 mg ?</v>
      </c>
      <c r="E413" s="37" t="str">
        <f>IFERROR(__xludf.DUMMYFUNCTION("GOOGLETRANSLATE(C413,""en"",""ht"")"),"Èske ou te distribye 18 grenn Parasetamol 500mg?")</f>
        <v>Èske ou te distribye 18 grenn Parasetamol 500mg?</v>
      </c>
      <c r="F413" s="34"/>
      <c r="G413" s="34"/>
      <c r="H413" s="34"/>
      <c r="I413" s="34"/>
      <c r="J413" s="34"/>
      <c r="K413" s="34"/>
      <c r="L413" s="34"/>
      <c r="M413" s="34"/>
      <c r="N413" s="34"/>
      <c r="O413" s="34"/>
      <c r="P413" s="34"/>
      <c r="Q413" s="34"/>
      <c r="R413" s="34"/>
      <c r="S413" s="34"/>
      <c r="T413" s="34"/>
      <c r="U413" s="34"/>
      <c r="V413" s="34"/>
      <c r="W413" s="34"/>
      <c r="X413" s="34"/>
      <c r="Y413" s="34"/>
      <c r="Z413" s="36"/>
      <c r="AA413" s="36"/>
      <c r="AB413" s="36"/>
      <c r="AC413" s="36"/>
      <c r="AD413" s="36"/>
      <c r="AE413" s="36"/>
      <c r="AF413" s="36"/>
      <c r="AG413" s="36"/>
      <c r="AH413" s="36"/>
    </row>
    <row r="414">
      <c r="A414" s="37" t="s">
        <v>102</v>
      </c>
      <c r="B414" s="40" t="s">
        <v>881</v>
      </c>
      <c r="C414" s="37" t="s">
        <v>54</v>
      </c>
      <c r="D414" s="37" t="str">
        <f>IFERROR(__xludf.DUMMYFUNCTION("GOOGLETRANSLATE(C414,""en"",""fr"")"),"SANS ÉTIQUETTE")</f>
        <v>SANS ÉTIQUETTE</v>
      </c>
      <c r="E414" s="37" t="str">
        <f>IFERROR(__xludf.DUMMYFUNCTION("GOOGLETRANSLATE(C414,""en"",""ht"")"),"PA GEN_ETIKÈT")</f>
        <v>PA GEN_ETIKÈT</v>
      </c>
      <c r="F414" s="34"/>
      <c r="G414" s="34"/>
      <c r="H414" s="34"/>
      <c r="I414" s="34"/>
      <c r="J414" s="34"/>
      <c r="K414" s="34"/>
      <c r="L414" s="34"/>
      <c r="M414" s="34"/>
      <c r="N414" s="34"/>
      <c r="O414" s="34"/>
      <c r="P414" s="34"/>
      <c r="Q414" s="37" t="s">
        <v>882</v>
      </c>
      <c r="R414" s="34"/>
      <c r="S414" s="34"/>
      <c r="T414" s="34"/>
      <c r="U414" s="34"/>
      <c r="V414" s="34"/>
      <c r="W414" s="34"/>
      <c r="X414" s="34"/>
      <c r="Y414" s="34"/>
      <c r="Z414" s="36"/>
      <c r="AA414" s="36"/>
      <c r="AB414" s="36"/>
      <c r="AC414" s="36"/>
      <c r="AD414" s="36"/>
      <c r="AE414" s="36"/>
      <c r="AF414" s="36"/>
      <c r="AG414" s="36"/>
      <c r="AH414" s="36"/>
    </row>
    <row r="415">
      <c r="A415" s="37" t="s">
        <v>451</v>
      </c>
      <c r="B415" s="40" t="s">
        <v>883</v>
      </c>
      <c r="C415" s="37" t="s">
        <v>453</v>
      </c>
      <c r="D415" s="37" t="str">
        <f>IFERROR(__xludf.DUMMYFUNCTION("GOOGLETRANSLATE(C415,""en"",""fr"")"),"Vous avez laissé au moins une confirmation de médicament vide. Si cela est intentionnel, veuillez indiquer pourquoi ci-dessous.")</f>
        <v>Vous avez laissé au moins une confirmation de médicament vide. Si cela est intentionnel, veuillez indiquer pourquoi ci-dessous.</v>
      </c>
      <c r="E415" s="37" t="str">
        <f>IFERROR(__xludf.DUMMYFUNCTION("GOOGLETRANSLATE(C415,""en"",""ht"")"),"Ou kite omwen yon konfimasyon medikaman vid. Si se espre, ekri poukisa anba a.")</f>
        <v>Ou kite omwen yon konfimasyon medikaman vid. Si se espre, ekri poukisa anba a.</v>
      </c>
      <c r="F415" s="37" t="s">
        <v>454</v>
      </c>
      <c r="G415" s="37" t="str">
        <f>IFERROR(__xludf.DUMMYFUNCTION("GOOGLETRANSLATE(F415,""en"",""fr"")"),"Si vous avez distribué une quantité différente de médicaments, notez combien.")</f>
        <v>Si vous avez distribué une quantité différente de médicaments, notez combien.</v>
      </c>
      <c r="H415" s="37" t="str">
        <f>IFERROR(__xludf.DUMMYFUNCTION("GOOGLETRANSLATE(F415,""en"",""ht"")"),"Si ou te distribye yon kantite dwòg diferan, anrejistre konbyen.")</f>
        <v>Si ou te distribye yon kantite dwòg diferan, anrejistre konbyen.</v>
      </c>
      <c r="I415" s="37" t="s">
        <v>68</v>
      </c>
      <c r="J415" s="37" t="s">
        <v>884</v>
      </c>
      <c r="K415" s="34"/>
      <c r="L415" s="34"/>
      <c r="M415" s="34"/>
      <c r="N415" s="34"/>
      <c r="O415" s="34"/>
      <c r="P415" s="34"/>
      <c r="Q415" s="34"/>
      <c r="R415" s="34"/>
      <c r="S415" s="34"/>
      <c r="T415" s="34"/>
      <c r="U415" s="34"/>
      <c r="V415" s="34"/>
      <c r="W415" s="34"/>
      <c r="X415" s="34"/>
      <c r="Y415" s="34"/>
      <c r="Z415" s="36"/>
      <c r="AA415" s="36"/>
      <c r="AB415" s="36"/>
      <c r="AC415" s="36"/>
      <c r="AD415" s="36"/>
      <c r="AE415" s="36"/>
      <c r="AF415" s="36"/>
      <c r="AG415" s="36"/>
      <c r="AH415" s="36"/>
    </row>
    <row r="416">
      <c r="A416" s="37" t="s">
        <v>451</v>
      </c>
      <c r="B416" s="40" t="s">
        <v>885</v>
      </c>
      <c r="C416" s="37" t="s">
        <v>457</v>
      </c>
      <c r="D416" s="37" t="str">
        <f>IFERROR(__xludf.DUMMYFUNCTION("GOOGLETRANSLATE(C416,""en"",""fr"")"),"Notes cliniques :")</f>
        <v>Notes cliniques :</v>
      </c>
      <c r="E416" s="37" t="str">
        <f>IFERROR(__xludf.DUMMYFUNCTION("GOOGLETRANSLATE(C416,""en"",""ht"")"),"Nòt klinik:")</f>
        <v>Nòt klinik:</v>
      </c>
      <c r="F416" s="34"/>
      <c r="G416" s="34"/>
      <c r="H416" s="34"/>
      <c r="I416" s="34"/>
      <c r="J416" s="34"/>
      <c r="K416" s="34"/>
      <c r="L416" s="34"/>
      <c r="M416" s="34"/>
      <c r="N416" s="34"/>
      <c r="O416" s="34"/>
      <c r="P416" s="34"/>
      <c r="Q416" s="34"/>
      <c r="R416" s="34"/>
      <c r="S416" s="34"/>
      <c r="T416" s="34"/>
      <c r="U416" s="34"/>
      <c r="V416" s="34"/>
      <c r="W416" s="34"/>
      <c r="X416" s="34"/>
      <c r="Y416" s="34"/>
      <c r="Z416" s="36"/>
      <c r="AA416" s="36"/>
      <c r="AB416" s="36"/>
      <c r="AC416" s="36"/>
      <c r="AD416" s="36"/>
      <c r="AE416" s="36"/>
      <c r="AF416" s="36"/>
      <c r="AG416" s="36"/>
      <c r="AH416" s="36"/>
    </row>
    <row r="417">
      <c r="A417" s="37" t="s">
        <v>82</v>
      </c>
      <c r="B417" s="40" t="s">
        <v>872</v>
      </c>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6"/>
      <c r="AA417" s="36"/>
      <c r="AB417" s="36"/>
      <c r="AC417" s="36"/>
      <c r="AD417" s="36"/>
      <c r="AE417" s="36"/>
      <c r="AF417" s="36"/>
      <c r="AG417" s="36"/>
      <c r="AH417" s="36"/>
    </row>
    <row r="418">
      <c r="A418" s="37" t="s">
        <v>49</v>
      </c>
      <c r="B418" s="40" t="s">
        <v>886</v>
      </c>
      <c r="C418" s="37" t="s">
        <v>408</v>
      </c>
      <c r="D418" s="37" t="s">
        <v>887</v>
      </c>
      <c r="E418" s="37" t="s">
        <v>888</v>
      </c>
      <c r="F418" s="34"/>
      <c r="G418" s="34"/>
      <c r="H418" s="34"/>
      <c r="I418" s="34"/>
      <c r="J418" s="37" t="s">
        <v>409</v>
      </c>
      <c r="K418" s="37" t="s">
        <v>58</v>
      </c>
      <c r="L418" s="34"/>
      <c r="M418" s="34"/>
      <c r="N418" s="34"/>
      <c r="O418" s="34"/>
      <c r="P418" s="34"/>
      <c r="Q418" s="34"/>
      <c r="R418" s="34"/>
      <c r="S418" s="34"/>
      <c r="T418" s="34"/>
      <c r="U418" s="34"/>
      <c r="V418" s="34"/>
      <c r="W418" s="34"/>
      <c r="X418" s="34"/>
      <c r="Y418" s="34"/>
      <c r="Z418" s="36"/>
      <c r="AA418" s="36"/>
      <c r="AB418" s="36"/>
      <c r="AC418" s="36"/>
      <c r="AD418" s="36"/>
      <c r="AE418" s="36"/>
      <c r="AF418" s="36"/>
      <c r="AG418" s="36"/>
      <c r="AH418" s="36"/>
    </row>
    <row r="419">
      <c r="A419" s="37" t="s">
        <v>38</v>
      </c>
      <c r="B419" s="40" t="s">
        <v>889</v>
      </c>
      <c r="C419" s="37" t="s">
        <v>890</v>
      </c>
      <c r="D419" s="37" t="str">
        <f>IFERROR(__xludf.DUMMYFUNCTION("GOOGLETRANSLATE(C419,""en"",""fr"")"),"Le patient présente un ulcère génital (risque de syphilis/IST).")</f>
        <v>Le patient présente un ulcère génital (risque de syphilis/IST).</v>
      </c>
      <c r="E419" s="37" t="str">
        <f>IFERROR(__xludf.DUMMYFUNCTION("GOOGLETRANSLATE(C419,""en"",""ht"")"),"Pasyan an gen ilsè jenital (Risk sifilis/MST)")</f>
        <v>Pasyan an gen ilsè jenital (Risk sifilis/MST)</v>
      </c>
      <c r="F419" s="34"/>
      <c r="G419" s="34"/>
      <c r="H419" s="34"/>
      <c r="I419" s="34"/>
      <c r="K419" s="37" t="s">
        <v>197</v>
      </c>
      <c r="L419" s="34"/>
      <c r="M419" s="34"/>
      <c r="N419" s="34"/>
      <c r="O419" s="34"/>
      <c r="P419" s="34"/>
      <c r="Q419" s="34"/>
      <c r="R419" s="34"/>
      <c r="S419" s="34"/>
      <c r="T419" s="34"/>
      <c r="U419" s="34"/>
      <c r="V419" s="34"/>
      <c r="W419" s="34"/>
      <c r="X419" s="34"/>
      <c r="Y419" s="34"/>
      <c r="Z419" s="36"/>
      <c r="AA419" s="36"/>
      <c r="AB419" s="36"/>
      <c r="AC419" s="36"/>
      <c r="AD419" s="36"/>
      <c r="AE419" s="36"/>
      <c r="AF419" s="36"/>
      <c r="AG419" s="36"/>
      <c r="AH419" s="36"/>
    </row>
    <row r="420">
      <c r="A420" s="37" t="s">
        <v>38</v>
      </c>
      <c r="B420" s="40" t="s">
        <v>891</v>
      </c>
      <c r="C420" s="37" t="s">
        <v>892</v>
      </c>
      <c r="D420" s="37" t="str">
        <f>IFERROR(__xludf.DUMMYFUNCTION("GOOGLETRANSLATE(C420,""en"",""fr"")"),"Protocole :
- Administrer une dose unique de 2,4 millions d’unités de pénicilline benzathine par voie intramusculaire (à administrer lentement !)
- Traiter tous les partenaires sexuels")</f>
        <v>Protocole :
- Administrer une dose unique de 2,4 millions d’unités de pénicilline benzathine par voie intramusculaire (à administrer lentement !)
- Traiter tous les partenaires sexuels</v>
      </c>
      <c r="E420" s="37" t="str">
        <f>IFERROR(__xludf.DUMMYFUNCTION("GOOGLETRANSLATE(C420,""en"",""ht"")"),"Pwotokòl:
- Administre 1 dòz 2.4 milyon inite Benzathine Penisilin IM (bay dousman!)
- Trete tout patnè seksyèl yo")</f>
        <v>Pwotokòl:
- Administre 1 dòz 2.4 milyon inite Benzathine Penisilin IM (bay dousman!)
- Trete tout patnè seksyèl yo</v>
      </c>
      <c r="F420" s="34"/>
      <c r="G420" s="34"/>
      <c r="H420" s="34"/>
      <c r="I420" s="34"/>
      <c r="J420" s="34"/>
      <c r="K420" s="34"/>
      <c r="L420" s="34"/>
      <c r="M420" s="34"/>
      <c r="N420" s="34"/>
      <c r="O420" s="34"/>
      <c r="P420" s="34"/>
      <c r="Q420" s="34"/>
      <c r="R420" s="34"/>
      <c r="S420" s="34"/>
      <c r="T420" s="34"/>
      <c r="U420" s="34"/>
      <c r="V420" s="34"/>
      <c r="W420" s="34"/>
      <c r="X420" s="34"/>
      <c r="Y420" s="34"/>
      <c r="Z420" s="36"/>
      <c r="AA420" s="36"/>
      <c r="AB420" s="36"/>
      <c r="AC420" s="36"/>
      <c r="AD420" s="36"/>
      <c r="AE420" s="36"/>
      <c r="AF420" s="36"/>
      <c r="AG420" s="36"/>
      <c r="AH420" s="36"/>
    </row>
    <row r="421">
      <c r="A421" s="37" t="s">
        <v>38</v>
      </c>
      <c r="B421" s="40" t="s">
        <v>893</v>
      </c>
      <c r="C421" s="37" t="s">
        <v>894</v>
      </c>
      <c r="D421" s="37" t="str">
        <f>IFERROR(__xludf.DUMMYFUNCTION("GOOGLETRANSLATE(C421,""en"",""fr"")"),"Conseils :
- Fournir des conseils sur l’utilisation du préservatif
- S’assurer que tous les partenaires sexuels reçoivent un traitement")</f>
        <v>Conseils :
- Fournir des conseils sur l’utilisation du préservatif
- S’assurer que tous les partenaires sexuels reçoivent un traitement</v>
      </c>
      <c r="E421" s="37" t="str">
        <f>IFERROR(__xludf.DUMMYFUNCTION("GOOGLETRANSLATE(C421,""en"",""ht"")"),"Konsèy:
- Bay konsèy sou itilizasyon kapòt
- Asire w ke tout patnè seksyèl yo resevwa tretman")</f>
        <v>Konsèy:
- Bay konsèy sou itilizasyon kapòt
- Asire w ke tout patnè seksyèl yo resevwa tretman</v>
      </c>
      <c r="F421" s="34"/>
      <c r="G421" s="34"/>
      <c r="H421" s="34"/>
      <c r="I421" s="34"/>
      <c r="J421" s="34"/>
      <c r="K421" s="34"/>
      <c r="L421" s="34"/>
      <c r="M421" s="34"/>
      <c r="N421" s="34"/>
      <c r="O421" s="34"/>
      <c r="P421" s="34"/>
      <c r="Q421" s="34"/>
      <c r="R421" s="34"/>
      <c r="S421" s="34"/>
      <c r="T421" s="34"/>
      <c r="U421" s="34"/>
      <c r="V421" s="34"/>
      <c r="W421" s="34"/>
      <c r="X421" s="34"/>
      <c r="Y421" s="34"/>
      <c r="Z421" s="36"/>
      <c r="AA421" s="36"/>
      <c r="AB421" s="36"/>
      <c r="AC421" s="36"/>
      <c r="AD421" s="36"/>
      <c r="AE421" s="36"/>
      <c r="AF421" s="36"/>
      <c r="AG421" s="36"/>
      <c r="AH421" s="36"/>
    </row>
    <row r="422">
      <c r="A422" s="37" t="s">
        <v>445</v>
      </c>
      <c r="B422" s="40" t="s">
        <v>895</v>
      </c>
      <c r="C422" s="37" t="s">
        <v>896</v>
      </c>
      <c r="D422" s="37" t="str">
        <f>IFERROR(__xludf.DUMMYFUNCTION("GOOGLETRANSLATE(C422,""en"",""fr"")"),"Avez-vous administré 1 Benzathine Penicillin 2,4 MUI IM ?")</f>
        <v>Avez-vous administré 1 Benzathine Penicillin 2,4 MUI IM ?</v>
      </c>
      <c r="E422" s="37" t="str">
        <f>IFERROR(__xludf.DUMMYFUNCTION("GOOGLETRANSLATE(C422,""en"",""ht"")"),"Èske ou te administre 1 Benzathine Penisilin 2.4 MUI IM?")</f>
        <v>Èske ou te administre 1 Benzathine Penisilin 2.4 MUI IM?</v>
      </c>
      <c r="F422" s="34"/>
      <c r="G422" s="34"/>
      <c r="H422" s="34"/>
      <c r="I422" s="34"/>
      <c r="J422" s="34"/>
      <c r="K422" s="34"/>
      <c r="L422" s="34"/>
      <c r="M422" s="34"/>
      <c r="N422" s="34"/>
      <c r="O422" s="34"/>
      <c r="P422" s="34"/>
      <c r="Q422" s="34"/>
      <c r="R422" s="34"/>
      <c r="S422" s="34"/>
      <c r="T422" s="34"/>
      <c r="U422" s="34"/>
      <c r="V422" s="34"/>
      <c r="W422" s="34"/>
      <c r="X422" s="34"/>
      <c r="Y422" s="34"/>
      <c r="Z422" s="36"/>
      <c r="AA422" s="36"/>
      <c r="AB422" s="36"/>
      <c r="AC422" s="36"/>
      <c r="AD422" s="36"/>
      <c r="AE422" s="36"/>
      <c r="AF422" s="36"/>
      <c r="AG422" s="36"/>
      <c r="AH422" s="36"/>
    </row>
    <row r="423">
      <c r="A423" s="37" t="s">
        <v>102</v>
      </c>
      <c r="B423" s="40" t="s">
        <v>897</v>
      </c>
      <c r="C423" s="37" t="s">
        <v>54</v>
      </c>
      <c r="D423" s="34" t="str">
        <f>IFERROR(__xludf.DUMMYFUNCTION("GOOGLETRANSLATE(C423,""en"",""fr"")"),"SANS ÉTIQUETTE")</f>
        <v>SANS ÉTIQUETTE</v>
      </c>
      <c r="E423" s="34" t="str">
        <f>IFERROR(__xludf.DUMMYFUNCTION("GOOGLETRANSLATE(C423,""en"",""ht"")"),"PA GEN_ETIKÈT")</f>
        <v>PA GEN_ETIKÈT</v>
      </c>
      <c r="F423" s="34"/>
      <c r="G423" s="34"/>
      <c r="H423" s="34"/>
      <c r="I423" s="34"/>
      <c r="J423" s="34"/>
      <c r="K423" s="34"/>
      <c r="L423" s="34"/>
      <c r="M423" s="34"/>
      <c r="N423" s="34"/>
      <c r="O423" s="34"/>
      <c r="P423" s="34"/>
      <c r="Q423" s="37" t="s">
        <v>898</v>
      </c>
      <c r="R423" s="34"/>
      <c r="S423" s="34"/>
      <c r="T423" s="34"/>
      <c r="U423" s="34"/>
      <c r="V423" s="34"/>
      <c r="W423" s="34"/>
      <c r="X423" s="34"/>
      <c r="Y423" s="34"/>
      <c r="Z423" s="36"/>
      <c r="AA423" s="36"/>
      <c r="AB423" s="36"/>
      <c r="AC423" s="36"/>
      <c r="AD423" s="36"/>
      <c r="AE423" s="36"/>
      <c r="AF423" s="36"/>
      <c r="AG423" s="36"/>
      <c r="AH423" s="36"/>
    </row>
    <row r="424">
      <c r="A424" s="37" t="s">
        <v>451</v>
      </c>
      <c r="B424" s="40" t="s">
        <v>899</v>
      </c>
      <c r="C424" s="37" t="s">
        <v>453</v>
      </c>
      <c r="D424" s="39" t="str">
        <f>IFERROR(__xludf.DUMMYFUNCTION("GOOGLETRANSLATE(C424,""en"",""fr"")"),"Vous avez laissé au moins une confirmation de médicament vide. Si cela est intentionnel, veuillez indiquer pourquoi ci-dessous.")</f>
        <v>Vous avez laissé au moins une confirmation de médicament vide. Si cela est intentionnel, veuillez indiquer pourquoi ci-dessous.</v>
      </c>
      <c r="E424" s="39" t="str">
        <f>IFERROR(__xludf.DUMMYFUNCTION("GOOGLETRANSLATE(C424,""en"",""ht"")"),"Ou kite omwen yon konfimasyon medikaman vid. Si se espre, ekri poukisa anba a.")</f>
        <v>Ou kite omwen yon konfimasyon medikaman vid. Si se espre, ekri poukisa anba a.</v>
      </c>
      <c r="F424" s="37" t="s">
        <v>454</v>
      </c>
      <c r="G424" s="37" t="str">
        <f>IFERROR(__xludf.DUMMYFUNCTION("GOOGLETRANSLATE(F424,""en"",""fr"")"),"Si vous avez distribué une quantité différente de médicaments, notez combien.")</f>
        <v>Si vous avez distribué une quantité différente de médicaments, notez combien.</v>
      </c>
      <c r="H424" s="37" t="str">
        <f>IFERROR(__xludf.DUMMYFUNCTION("GOOGLETRANSLATE(F424,""en"",""ht"")"),"Si ou te distribye yon kantite dwòg diferan, anrejistre konbyen.")</f>
        <v>Si ou te distribye yon kantite dwòg diferan, anrejistre konbyen.</v>
      </c>
      <c r="I424" s="37" t="s">
        <v>68</v>
      </c>
      <c r="J424" s="37" t="s">
        <v>900</v>
      </c>
      <c r="K424" s="34"/>
      <c r="L424" s="34"/>
      <c r="M424" s="34"/>
      <c r="N424" s="34"/>
      <c r="O424" s="34"/>
      <c r="P424" s="34"/>
      <c r="Q424" s="34"/>
      <c r="R424" s="34"/>
      <c r="S424" s="34"/>
      <c r="T424" s="34"/>
      <c r="U424" s="34"/>
      <c r="V424" s="34"/>
      <c r="W424" s="34"/>
      <c r="X424" s="34"/>
      <c r="Y424" s="34"/>
      <c r="Z424" s="36"/>
      <c r="AA424" s="36"/>
      <c r="AB424" s="36"/>
      <c r="AC424" s="36"/>
      <c r="AD424" s="36"/>
      <c r="AE424" s="36"/>
      <c r="AF424" s="36"/>
      <c r="AG424" s="36"/>
      <c r="AH424" s="36"/>
    </row>
    <row r="425">
      <c r="A425" s="37" t="s">
        <v>451</v>
      </c>
      <c r="B425" s="40" t="s">
        <v>901</v>
      </c>
      <c r="C425" s="37" t="s">
        <v>457</v>
      </c>
      <c r="D425" s="37" t="str">
        <f>IFERROR(__xludf.DUMMYFUNCTION("GOOGLETRANSLATE(C425,""en"",""fr"")"),"Notes cliniques :")</f>
        <v>Notes cliniques :</v>
      </c>
      <c r="E425" s="37" t="str">
        <f>IFERROR(__xludf.DUMMYFUNCTION("GOOGLETRANSLATE(C425,""en"",""ht"")"),"Nòt klinik:")</f>
        <v>Nòt klinik:</v>
      </c>
      <c r="F425" s="34"/>
      <c r="G425" s="34"/>
      <c r="H425" s="34"/>
      <c r="I425" s="34"/>
      <c r="J425" s="34"/>
      <c r="K425" s="34"/>
      <c r="L425" s="34"/>
      <c r="M425" s="34"/>
      <c r="N425" s="34"/>
      <c r="O425" s="34"/>
      <c r="P425" s="34"/>
      <c r="Q425" s="34"/>
      <c r="R425" s="34"/>
      <c r="S425" s="34"/>
      <c r="T425" s="34"/>
      <c r="U425" s="34"/>
      <c r="V425" s="34"/>
      <c r="W425" s="34"/>
      <c r="X425" s="34"/>
      <c r="Y425" s="34"/>
      <c r="Z425" s="36"/>
      <c r="AA425" s="36"/>
      <c r="AB425" s="36"/>
      <c r="AC425" s="36"/>
      <c r="AD425" s="36"/>
      <c r="AE425" s="36"/>
      <c r="AF425" s="36"/>
      <c r="AG425" s="36"/>
      <c r="AH425" s="36"/>
    </row>
    <row r="426">
      <c r="A426" s="37" t="s">
        <v>82</v>
      </c>
      <c r="B426" s="40" t="s">
        <v>886</v>
      </c>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6"/>
      <c r="AA426" s="36"/>
      <c r="AB426" s="36"/>
      <c r="AC426" s="36"/>
      <c r="AD426" s="36"/>
      <c r="AE426" s="36"/>
      <c r="AF426" s="36"/>
      <c r="AG426" s="36"/>
      <c r="AH426" s="36"/>
    </row>
    <row r="427">
      <c r="A427" s="37" t="s">
        <v>49</v>
      </c>
      <c r="B427" s="40" t="s">
        <v>902</v>
      </c>
      <c r="C427" s="37" t="s">
        <v>401</v>
      </c>
      <c r="D427" s="37" t="s">
        <v>903</v>
      </c>
      <c r="E427" s="37" t="s">
        <v>904</v>
      </c>
      <c r="F427" s="34"/>
      <c r="G427" s="34"/>
      <c r="H427" s="34"/>
      <c r="I427" s="34"/>
      <c r="J427" s="37" t="s">
        <v>402</v>
      </c>
      <c r="K427" s="37" t="s">
        <v>58</v>
      </c>
      <c r="L427" s="34"/>
      <c r="M427" s="34"/>
      <c r="N427" s="34"/>
      <c r="O427" s="34"/>
      <c r="P427" s="34"/>
      <c r="Q427" s="34"/>
      <c r="R427" s="34"/>
      <c r="S427" s="34"/>
      <c r="T427" s="34"/>
      <c r="U427" s="34"/>
      <c r="V427" s="34"/>
      <c r="W427" s="34"/>
      <c r="X427" s="34"/>
      <c r="Y427" s="34"/>
      <c r="Z427" s="36"/>
      <c r="AA427" s="36"/>
      <c r="AB427" s="36"/>
      <c r="AC427" s="36"/>
      <c r="AD427" s="36"/>
      <c r="AE427" s="36"/>
      <c r="AF427" s="36"/>
      <c r="AG427" s="36"/>
      <c r="AH427" s="36"/>
    </row>
    <row r="428">
      <c r="A428" s="37" t="s">
        <v>38</v>
      </c>
      <c r="B428" s="40" t="s">
        <v>905</v>
      </c>
      <c r="C428" s="37" t="s">
        <v>906</v>
      </c>
      <c r="D428" s="37" t="str">
        <f>IFERROR(__xludf.DUMMYFUNCTION("GOOGLETRANSLATE(C428,""en"",""fr"")"),"Le patient présente un risque de gonorrhée/chlamydia")</f>
        <v>Le patient présente un risque de gonorrhée/chlamydia</v>
      </c>
      <c r="E428" s="37" t="str">
        <f>IFERROR(__xludf.DUMMYFUNCTION("GOOGLETRANSLATE(C428,""en"",""ht"")"),"Pasyan an gen risk pou li gen gonore/klamidya.")</f>
        <v>Pasyan an gen risk pou li gen gonore/klamidya.</v>
      </c>
      <c r="F428" s="34"/>
      <c r="G428" s="34"/>
      <c r="H428" s="34"/>
      <c r="I428" s="34"/>
      <c r="K428" s="37" t="s">
        <v>182</v>
      </c>
      <c r="L428" s="34"/>
      <c r="M428" s="34"/>
      <c r="N428" s="34"/>
      <c r="O428" s="34"/>
      <c r="P428" s="34"/>
      <c r="Q428" s="34"/>
      <c r="R428" s="34"/>
      <c r="S428" s="34"/>
      <c r="T428" s="34"/>
      <c r="U428" s="34"/>
      <c r="V428" s="34"/>
      <c r="W428" s="34"/>
      <c r="X428" s="34"/>
      <c r="Y428" s="34"/>
      <c r="Z428" s="36"/>
      <c r="AA428" s="36"/>
      <c r="AB428" s="36"/>
      <c r="AC428" s="36"/>
      <c r="AD428" s="36"/>
      <c r="AE428" s="36"/>
      <c r="AF428" s="36"/>
      <c r="AG428" s="36"/>
      <c r="AH428" s="36"/>
    </row>
    <row r="429">
      <c r="A429" s="37" t="s">
        <v>38</v>
      </c>
      <c r="B429" s="40" t="s">
        <v>907</v>
      </c>
      <c r="C429" s="37" t="s">
        <v>908</v>
      </c>
      <c r="D429" s="37" t="str">
        <f>IFERROR(__xludf.DUMMYFUNCTION("GOOGLETRANSLATE(C429,""en"",""fr"")"),"Protocole :
- Distribuer 6 comprimés de ciprofloxacine 500 mg à prendre deux fois par jour pendant 3 jours
- Distribuer 28 comprimés de doxycycline 100 mg à prendre deux fois par jour pendant 14 jours
- Traiter tous les partenaires sexuels")</f>
        <v>Protocole :
- Distribuer 6 comprimés de ciprofloxacine 500 mg à prendre deux fois par jour pendant 3 jours
- Distribuer 28 comprimés de doxycycline 100 mg à prendre deux fois par jour pendant 14 jours
- Traiter tous les partenaires sexuels</v>
      </c>
      <c r="E429" s="37" t="str">
        <f>IFERROR(__xludf.DUMMYFUNCTION("GOOGLETRANSLATE(C429,""en"",""ht"")"),"Pwotokòl:
- Distribye 6 Siprofloksasin 500mg pou pran de fwa pa jou pandan 3 jou
- Distribye 28 Doksisiklin 100mg pou pran de fwa pa jou pandan 14 jou
- Trete tout patnè seksyèl yo")</f>
        <v>Pwotokòl:
- Distribye 6 Siprofloksasin 500mg pou pran de fwa pa jou pandan 3 jou
- Distribye 28 Doksisiklin 100mg pou pran de fwa pa jou pandan 14 jou
- Trete tout patnè seksyèl yo</v>
      </c>
      <c r="F429" s="34"/>
      <c r="G429" s="34"/>
      <c r="H429" s="34"/>
      <c r="I429" s="34"/>
      <c r="J429" s="34"/>
      <c r="K429" s="34"/>
      <c r="L429" s="34"/>
      <c r="M429" s="34"/>
      <c r="N429" s="34"/>
      <c r="O429" s="34"/>
      <c r="P429" s="34"/>
      <c r="Q429" s="34"/>
      <c r="R429" s="34"/>
      <c r="S429" s="34"/>
      <c r="T429" s="34"/>
      <c r="U429" s="34"/>
      <c r="V429" s="34"/>
      <c r="W429" s="34"/>
      <c r="X429" s="34"/>
      <c r="Y429" s="34"/>
      <c r="Z429" s="36"/>
      <c r="AA429" s="36"/>
      <c r="AB429" s="36"/>
      <c r="AC429" s="36"/>
      <c r="AD429" s="36"/>
      <c r="AE429" s="36"/>
      <c r="AF429" s="36"/>
      <c r="AG429" s="36"/>
      <c r="AH429" s="36"/>
    </row>
    <row r="430">
      <c r="A430" s="37" t="s">
        <v>38</v>
      </c>
      <c r="B430" s="40" t="s">
        <v>909</v>
      </c>
      <c r="C430" s="37" t="s">
        <v>894</v>
      </c>
      <c r="D430" s="37" t="str">
        <f>IFERROR(__xludf.DUMMYFUNCTION("GOOGLETRANSLATE(C430,""en"",""fr"")"),"Conseils :
- Fournir des conseils sur l’utilisation du préservatif
- S’assurer que tous les partenaires sexuels reçoivent un traitement")</f>
        <v>Conseils :
- Fournir des conseils sur l’utilisation du préservatif
- S’assurer que tous les partenaires sexuels reçoivent un traitement</v>
      </c>
      <c r="E430" s="37" t="str">
        <f>IFERROR(__xludf.DUMMYFUNCTION("GOOGLETRANSLATE(C430,""en"",""ht"")"),"Konsèy:
- Bay konsèy sou itilizasyon kapòt
- Asire w ke tout patnè seksyèl yo resevwa tretman")</f>
        <v>Konsèy:
- Bay konsèy sou itilizasyon kapòt
- Asire w ke tout patnè seksyèl yo resevwa tretman</v>
      </c>
      <c r="F430" s="34"/>
      <c r="G430" s="34"/>
      <c r="H430" s="34"/>
      <c r="I430" s="34"/>
      <c r="J430" s="34"/>
      <c r="K430" s="34"/>
      <c r="L430" s="34"/>
      <c r="M430" s="34"/>
      <c r="N430" s="34"/>
      <c r="O430" s="34"/>
      <c r="P430" s="34"/>
      <c r="Q430" s="34"/>
      <c r="R430" s="34"/>
      <c r="S430" s="34"/>
      <c r="T430" s="34"/>
      <c r="U430" s="34"/>
      <c r="V430" s="34"/>
      <c r="W430" s="34"/>
      <c r="X430" s="34"/>
      <c r="Y430" s="34"/>
      <c r="Z430" s="36"/>
      <c r="AA430" s="36"/>
      <c r="AB430" s="36"/>
      <c r="AC430" s="36"/>
      <c r="AD430" s="36"/>
      <c r="AE430" s="36"/>
      <c r="AF430" s="36"/>
      <c r="AG430" s="36"/>
      <c r="AH430" s="36"/>
    </row>
    <row r="431">
      <c r="A431" s="37" t="s">
        <v>445</v>
      </c>
      <c r="B431" s="40" t="s">
        <v>910</v>
      </c>
      <c r="C431" s="37" t="s">
        <v>911</v>
      </c>
      <c r="D431" s="37" t="str">
        <f>IFERROR(__xludf.DUMMYFUNCTION("GOOGLETRANSLATE(C431,""en"",""fr"")"),"Avez-vous distribué 6 comprimés de ciprofloxacine 500 mg ?")</f>
        <v>Avez-vous distribué 6 comprimés de ciprofloxacine 500 mg ?</v>
      </c>
      <c r="E431" s="37" t="str">
        <f>IFERROR(__xludf.DUMMYFUNCTION("GOOGLETRANSLATE(C431,""en"",""ht"")"),"Èske ou te distribye 6 Ciprofloxacin 500mg?")</f>
        <v>Èske ou te distribye 6 Ciprofloxacin 500mg?</v>
      </c>
      <c r="F431" s="34"/>
      <c r="G431" s="34"/>
      <c r="H431" s="34"/>
      <c r="I431" s="34"/>
      <c r="J431" s="34"/>
      <c r="K431" s="34"/>
      <c r="L431" s="34"/>
      <c r="M431" s="34"/>
      <c r="N431" s="34"/>
      <c r="O431" s="34"/>
      <c r="P431" s="34"/>
      <c r="Q431" s="34"/>
      <c r="R431" s="34"/>
      <c r="S431" s="34"/>
      <c r="T431" s="34"/>
      <c r="U431" s="34"/>
      <c r="V431" s="34"/>
      <c r="W431" s="34"/>
      <c r="X431" s="34"/>
      <c r="Y431" s="34"/>
      <c r="Z431" s="36"/>
      <c r="AA431" s="36"/>
      <c r="AB431" s="36"/>
      <c r="AC431" s="36"/>
      <c r="AD431" s="36"/>
      <c r="AE431" s="36"/>
      <c r="AF431" s="36"/>
      <c r="AG431" s="36"/>
      <c r="AH431" s="36"/>
    </row>
    <row r="432">
      <c r="A432" s="37" t="s">
        <v>102</v>
      </c>
      <c r="B432" s="40" t="s">
        <v>912</v>
      </c>
      <c r="C432" s="37" t="s">
        <v>54</v>
      </c>
      <c r="D432" s="34" t="str">
        <f>IFERROR(__xludf.DUMMYFUNCTION("GOOGLETRANSLATE(C432,""en"",""fr"")"),"SANS ÉTIQUETTE")</f>
        <v>SANS ÉTIQUETTE</v>
      </c>
      <c r="E432" s="34" t="str">
        <f>IFERROR(__xludf.DUMMYFUNCTION("GOOGLETRANSLATE(C432,""en"",""ht"")"),"PA GEN_ETIKÈT")</f>
        <v>PA GEN_ETIKÈT</v>
      </c>
      <c r="F432" s="34"/>
      <c r="G432" s="34"/>
      <c r="H432" s="34"/>
      <c r="I432" s="34"/>
      <c r="J432" s="34"/>
      <c r="K432" s="34"/>
      <c r="L432" s="34"/>
      <c r="M432" s="34"/>
      <c r="N432" s="34"/>
      <c r="O432" s="34"/>
      <c r="P432" s="34"/>
      <c r="Q432" s="37" t="s">
        <v>913</v>
      </c>
      <c r="R432" s="34"/>
      <c r="S432" s="34"/>
      <c r="T432" s="34"/>
      <c r="U432" s="34"/>
      <c r="V432" s="34"/>
      <c r="W432" s="34"/>
      <c r="X432" s="34"/>
      <c r="Y432" s="34"/>
      <c r="Z432" s="36"/>
      <c r="AA432" s="36"/>
      <c r="AB432" s="36"/>
      <c r="AC432" s="36"/>
      <c r="AD432" s="36"/>
      <c r="AE432" s="36"/>
      <c r="AF432" s="36"/>
      <c r="AG432" s="36"/>
      <c r="AH432" s="36"/>
    </row>
    <row r="433">
      <c r="A433" s="37" t="s">
        <v>445</v>
      </c>
      <c r="B433" s="40" t="s">
        <v>914</v>
      </c>
      <c r="C433" s="37" t="s">
        <v>915</v>
      </c>
      <c r="D433" s="37" t="str">
        <f>IFERROR(__xludf.DUMMYFUNCTION("GOOGLETRANSLATE(C433,""en"",""fr"")"),"Avez-vous distribué 28 comprimés de doxycycline 100 mg ?")</f>
        <v>Avez-vous distribué 28 comprimés de doxycycline 100 mg ?</v>
      </c>
      <c r="E433" s="37" t="str">
        <f>IFERROR(__xludf.DUMMYFUNCTION("GOOGLETRANSLATE(C433,""en"",""ht"")"),"Èske ou te distribye 28 Doxycycline 100mg?")</f>
        <v>Èske ou te distribye 28 Doxycycline 100mg?</v>
      </c>
      <c r="F433" s="34"/>
      <c r="G433" s="34"/>
      <c r="H433" s="34"/>
      <c r="I433" s="34"/>
      <c r="J433" s="34"/>
      <c r="K433" s="34"/>
      <c r="L433" s="34"/>
      <c r="M433" s="34"/>
      <c r="N433" s="34"/>
      <c r="O433" s="34"/>
      <c r="P433" s="34"/>
      <c r="Q433" s="34"/>
      <c r="R433" s="34"/>
      <c r="S433" s="34"/>
      <c r="T433" s="34"/>
      <c r="U433" s="34"/>
      <c r="V433" s="34"/>
      <c r="W433" s="34"/>
      <c r="X433" s="34"/>
      <c r="Y433" s="34"/>
      <c r="Z433" s="36"/>
      <c r="AA433" s="36"/>
      <c r="AB433" s="36"/>
      <c r="AC433" s="36"/>
      <c r="AD433" s="36"/>
      <c r="AE433" s="36"/>
      <c r="AF433" s="36"/>
      <c r="AG433" s="36"/>
      <c r="AH433" s="36"/>
    </row>
    <row r="434">
      <c r="A434" s="37" t="s">
        <v>102</v>
      </c>
      <c r="B434" s="40" t="s">
        <v>916</v>
      </c>
      <c r="C434" s="37" t="s">
        <v>54</v>
      </c>
      <c r="D434" s="34" t="str">
        <f>IFERROR(__xludf.DUMMYFUNCTION("GOOGLETRANSLATE(C434,""en"",""fr"")"),"SANS ÉTIQUETTE")</f>
        <v>SANS ÉTIQUETTE</v>
      </c>
      <c r="E434" s="34" t="str">
        <f>IFERROR(__xludf.DUMMYFUNCTION("GOOGLETRANSLATE(C434,""en"",""ht"")"),"PA GEN_ETIKÈT")</f>
        <v>PA GEN_ETIKÈT</v>
      </c>
      <c r="F434" s="34"/>
      <c r="G434" s="34"/>
      <c r="H434" s="34"/>
      <c r="I434" s="34"/>
      <c r="J434" s="34"/>
      <c r="K434" s="34"/>
      <c r="L434" s="34"/>
      <c r="M434" s="34"/>
      <c r="N434" s="34"/>
      <c r="O434" s="34"/>
      <c r="P434" s="34"/>
      <c r="Q434" s="37" t="s">
        <v>917</v>
      </c>
      <c r="R434" s="34"/>
      <c r="S434" s="34"/>
      <c r="T434" s="34"/>
      <c r="U434" s="34"/>
      <c r="V434" s="34"/>
      <c r="W434" s="34"/>
      <c r="X434" s="34"/>
      <c r="Y434" s="34"/>
      <c r="Z434" s="36"/>
      <c r="AA434" s="36"/>
      <c r="AB434" s="36"/>
      <c r="AC434" s="36"/>
      <c r="AD434" s="36"/>
      <c r="AE434" s="36"/>
      <c r="AF434" s="36"/>
      <c r="AG434" s="36"/>
      <c r="AH434" s="36"/>
    </row>
    <row r="435">
      <c r="A435" s="37" t="s">
        <v>451</v>
      </c>
      <c r="B435" s="40" t="s">
        <v>918</v>
      </c>
      <c r="C435" s="37" t="s">
        <v>453</v>
      </c>
      <c r="D435" s="39" t="str">
        <f>IFERROR(__xludf.DUMMYFUNCTION("GOOGLETRANSLATE(C435,""en"",""fr"")"),"Vous avez laissé au moins une confirmation de médicament vide. Si cela est intentionnel, veuillez indiquer pourquoi ci-dessous.")</f>
        <v>Vous avez laissé au moins une confirmation de médicament vide. Si cela est intentionnel, veuillez indiquer pourquoi ci-dessous.</v>
      </c>
      <c r="E435" s="39" t="str">
        <f>IFERROR(__xludf.DUMMYFUNCTION("GOOGLETRANSLATE(C435,""en"",""ht"")"),"Ou kite omwen yon konfimasyon medikaman vid. Si se espre, ekri poukisa anba a.")</f>
        <v>Ou kite omwen yon konfimasyon medikaman vid. Si se espre, ekri poukisa anba a.</v>
      </c>
      <c r="F435" s="37" t="s">
        <v>454</v>
      </c>
      <c r="G435" s="37" t="str">
        <f>IFERROR(__xludf.DUMMYFUNCTION("GOOGLETRANSLATE(F435,""en"",""fr"")"),"Si vous avez distribué une quantité différente de médicaments, notez combien.")</f>
        <v>Si vous avez distribué une quantité différente de médicaments, notez combien.</v>
      </c>
      <c r="H435" s="37" t="str">
        <f>IFERROR(__xludf.DUMMYFUNCTION("GOOGLETRANSLATE(F435,""en"",""ht"")"),"Si ou te distribye yon kantite dwòg diferan, anrejistre konbyen.")</f>
        <v>Si ou te distribye yon kantite dwòg diferan, anrejistre konbyen.</v>
      </c>
      <c r="I435" s="37" t="s">
        <v>68</v>
      </c>
      <c r="J435" s="37" t="s">
        <v>919</v>
      </c>
      <c r="K435" s="34"/>
      <c r="L435" s="34"/>
      <c r="M435" s="34"/>
      <c r="N435" s="34"/>
      <c r="O435" s="34"/>
      <c r="P435" s="34"/>
      <c r="Q435" s="34"/>
      <c r="R435" s="34"/>
      <c r="S435" s="34"/>
      <c r="T435" s="34"/>
      <c r="U435" s="34"/>
      <c r="V435" s="34"/>
      <c r="W435" s="34"/>
      <c r="X435" s="34"/>
      <c r="Y435" s="34"/>
      <c r="Z435" s="36"/>
      <c r="AA435" s="36"/>
      <c r="AB435" s="36"/>
      <c r="AC435" s="36"/>
      <c r="AD435" s="36"/>
      <c r="AE435" s="36"/>
      <c r="AF435" s="36"/>
      <c r="AG435" s="36"/>
      <c r="AH435" s="36"/>
    </row>
    <row r="436">
      <c r="A436" s="37" t="s">
        <v>451</v>
      </c>
      <c r="B436" s="40" t="s">
        <v>920</v>
      </c>
      <c r="C436" s="37" t="s">
        <v>457</v>
      </c>
      <c r="D436" s="37" t="str">
        <f>IFERROR(__xludf.DUMMYFUNCTION("GOOGLETRANSLATE(C436,""en"",""fr"")"),"Notes cliniques :")</f>
        <v>Notes cliniques :</v>
      </c>
      <c r="E436" s="37" t="str">
        <f>IFERROR(__xludf.DUMMYFUNCTION("GOOGLETRANSLATE(C436,""en"",""ht"")"),"Nòt klinik:")</f>
        <v>Nòt klinik:</v>
      </c>
      <c r="F436" s="34"/>
      <c r="G436" s="34"/>
      <c r="H436" s="34"/>
      <c r="I436" s="34"/>
      <c r="J436" s="34"/>
      <c r="K436" s="34"/>
      <c r="L436" s="34"/>
      <c r="M436" s="34"/>
      <c r="N436" s="34"/>
      <c r="O436" s="34"/>
      <c r="P436" s="34"/>
      <c r="Q436" s="34"/>
      <c r="R436" s="34"/>
      <c r="S436" s="34"/>
      <c r="T436" s="34"/>
      <c r="U436" s="34"/>
      <c r="V436" s="34"/>
      <c r="W436" s="34"/>
      <c r="X436" s="34"/>
      <c r="Y436" s="34"/>
      <c r="Z436" s="36"/>
      <c r="AA436" s="36"/>
      <c r="AB436" s="36"/>
      <c r="AC436" s="36"/>
      <c r="AD436" s="36"/>
      <c r="AE436" s="36"/>
      <c r="AF436" s="36"/>
      <c r="AG436" s="36"/>
      <c r="AH436" s="36"/>
    </row>
    <row r="437">
      <c r="A437" s="37" t="s">
        <v>82</v>
      </c>
      <c r="B437" s="40" t="s">
        <v>902</v>
      </c>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6"/>
      <c r="AA437" s="36"/>
      <c r="AB437" s="36"/>
      <c r="AC437" s="36"/>
      <c r="AD437" s="36"/>
      <c r="AE437" s="36"/>
      <c r="AF437" s="36"/>
      <c r="AG437" s="36"/>
      <c r="AH437" s="36"/>
    </row>
    <row r="438">
      <c r="A438" s="37" t="s">
        <v>49</v>
      </c>
      <c r="B438" s="40" t="s">
        <v>921</v>
      </c>
      <c r="C438" s="37" t="s">
        <v>394</v>
      </c>
      <c r="D438" s="37" t="s">
        <v>922</v>
      </c>
      <c r="E438" s="37" t="s">
        <v>923</v>
      </c>
      <c r="F438" s="34"/>
      <c r="G438" s="34"/>
      <c r="H438" s="34"/>
      <c r="I438" s="34"/>
      <c r="J438" s="37" t="s">
        <v>395</v>
      </c>
      <c r="K438" s="37" t="s">
        <v>58</v>
      </c>
      <c r="L438" s="34"/>
      <c r="M438" s="34"/>
      <c r="N438" s="34"/>
      <c r="O438" s="34"/>
      <c r="P438" s="34"/>
      <c r="Q438" s="34"/>
      <c r="R438" s="34"/>
      <c r="S438" s="34"/>
      <c r="T438" s="34"/>
      <c r="U438" s="34"/>
      <c r="V438" s="34"/>
      <c r="W438" s="34"/>
      <c r="X438" s="34"/>
      <c r="Y438" s="34"/>
      <c r="Z438" s="36"/>
      <c r="AA438" s="36"/>
      <c r="AB438" s="36"/>
      <c r="AC438" s="36"/>
      <c r="AD438" s="36"/>
      <c r="AE438" s="36"/>
      <c r="AF438" s="36"/>
      <c r="AG438" s="36"/>
      <c r="AH438" s="36"/>
    </row>
    <row r="439">
      <c r="A439" s="37" t="s">
        <v>38</v>
      </c>
      <c r="B439" s="40" t="s">
        <v>924</v>
      </c>
      <c r="C439" s="37" t="s">
        <v>925</v>
      </c>
      <c r="D439" s="37" t="str">
        <f>IFERROR(__xludf.DUMMYFUNCTION("GOOGLETRANSLATE(C439,""en"",""fr"")"),"Le patient présente une infection urinaire")</f>
        <v>Le patient présente une infection urinaire</v>
      </c>
      <c r="E439" s="37" t="str">
        <f>IFERROR(__xludf.DUMMYFUNCTION("GOOGLETRANSLATE(C439,""en"",""ht"")"),"Pasyan an gen enfeksyon nan aparèy urinè a")</f>
        <v>Pasyan an gen enfeksyon nan aparèy urinè a</v>
      </c>
      <c r="F439" s="34"/>
      <c r="G439" s="34"/>
      <c r="H439" s="34"/>
      <c r="I439" s="34"/>
      <c r="K439" s="37" t="s">
        <v>182</v>
      </c>
      <c r="L439" s="34"/>
      <c r="M439" s="34"/>
      <c r="N439" s="34"/>
      <c r="O439" s="34"/>
      <c r="P439" s="34"/>
      <c r="Q439" s="34"/>
      <c r="R439" s="34"/>
      <c r="S439" s="34"/>
      <c r="T439" s="34"/>
      <c r="U439" s="34"/>
      <c r="V439" s="34"/>
      <c r="W439" s="34"/>
      <c r="X439" s="34"/>
      <c r="Y439" s="34"/>
      <c r="Z439" s="36"/>
      <c r="AA439" s="36"/>
      <c r="AB439" s="36"/>
      <c r="AC439" s="36"/>
      <c r="AD439" s="36"/>
      <c r="AE439" s="36"/>
      <c r="AF439" s="36"/>
      <c r="AG439" s="36"/>
      <c r="AH439" s="36"/>
    </row>
    <row r="440">
      <c r="A440" s="37" t="s">
        <v>38</v>
      </c>
      <c r="B440" s="40" t="s">
        <v>926</v>
      </c>
      <c r="C440" s="37" t="s">
        <v>927</v>
      </c>
      <c r="D440" s="37" t="str">
        <f>IFERROR(__xludf.DUMMYFUNCTION("GOOGLETRANSLATE(C440,""en"",""fr"")"),"Protocole :
- Distribuer 21 comprimés de ciprofloxacine 500 mg à prendre 3 fois par jour pendant 7 jours.
- Encourager une hydratation abondante.")</f>
        <v>Protocole :
- Distribuer 21 comprimés de ciprofloxacine 500 mg à prendre 3 fois par jour pendant 7 jours.
- Encourager une hydratation abondante.</v>
      </c>
      <c r="E440" s="37" t="str">
        <f>IFERROR(__xludf.DUMMYFUNCTION("GOOGLETRANSLATE(C440,""en"",""ht"")"),"Pwotokòl:
- Distribye 21 Siprofloxacin 500mg pou pran 3 fwa pa jou pandan 7 jou
- Ankouraje konsomasyon anpil likid")</f>
        <v>Pwotokòl:
- Distribye 21 Siprofloxacin 500mg pou pran 3 fwa pa jou pandan 7 jou
- Ankouraje konsomasyon anpil likid</v>
      </c>
      <c r="F440" s="34"/>
      <c r="G440" s="34"/>
      <c r="H440" s="34"/>
      <c r="I440" s="34"/>
      <c r="J440" s="34"/>
      <c r="K440" s="34"/>
      <c r="L440" s="34"/>
      <c r="M440" s="34"/>
      <c r="N440" s="34"/>
      <c r="O440" s="34"/>
      <c r="P440" s="34"/>
      <c r="Q440" s="34"/>
      <c r="R440" s="34"/>
      <c r="S440" s="34"/>
      <c r="T440" s="34"/>
      <c r="U440" s="34"/>
      <c r="V440" s="34"/>
      <c r="W440" s="34"/>
      <c r="X440" s="34"/>
      <c r="Y440" s="34"/>
      <c r="Z440" s="36"/>
      <c r="AA440" s="36"/>
      <c r="AB440" s="36"/>
      <c r="AC440" s="36"/>
      <c r="AD440" s="36"/>
      <c r="AE440" s="36"/>
      <c r="AF440" s="36"/>
      <c r="AG440" s="36"/>
      <c r="AH440" s="36"/>
    </row>
    <row r="441">
      <c r="A441" s="37" t="s">
        <v>38</v>
      </c>
      <c r="B441" s="40" t="s">
        <v>928</v>
      </c>
      <c r="C441" s="37" t="s">
        <v>929</v>
      </c>
      <c r="D441" s="37" t="str">
        <f>IFERROR(__xludf.DUMMYFUNCTION("GOOGLETRANSLATE(C441,""en"",""fr"")"),"Conseils :
- Conseiller au patient de boire quotidiennement une grande quantité d'eau potable.
- Conseiller au patient de maintenir une bonne hygiène personnelle avec de l'eau propre et de porter des sous-vêtements amples lavés régulièrement.
- S'assur"&amp;"er que le patient comprend qu'il doit suivre le traitement jusqu'au bout, même s'il se sent mieux.
- Informer le patient qu'en l'absence d'amélioration après 2 jours, il doit se rendre au centre de santé.")</f>
        <v>Conseils :
- Conseiller au patient de boire quotidiennement une grande quantité d'eau potable.
- Conseiller au patient de maintenir une bonne hygiène personnelle avec de l'eau propre et de porter des sous-vêtements amples lavés régulièrement.
- S'assurer que le patient comprend qu'il doit suivre le traitement jusqu'au bout, même s'il se sent mieux.
- Informer le patient qu'en l'absence d'amélioration après 2 jours, il doit se rendre au centre de santé.</v>
      </c>
      <c r="E441" s="37" t="str">
        <f>IFERROR(__xludf.DUMMYFUNCTION("GOOGLETRANSLATE(C441,""en"",""ht"")"),"Konsèy:
- Konseye pasyan an pou l bwè anpil dlo pwòp trete chak jou
- Konseye pasyan an pou l pratike ijyèn pèsonèl li avèk dlo pwòp epi mete kilòt ki lach epi lave regilyèman
- Asire pasyan an konprann li dwe pran tout tretman an menm lè l santi l pi bye"&amp;"n
- Enfòme pasyan an si pa gen amelyorasyon apre 2 jou, ale nan sant sante a")</f>
        <v>Konsèy:
- Konseye pasyan an pou l bwè anpil dlo pwòp trete chak jou
- Konseye pasyan an pou l pratike ijyèn pèsonèl li avèk dlo pwòp epi mete kilòt ki lach epi lave regilyèman
- Asire pasyan an konprann li dwe pran tout tretman an menm lè l santi l pi byen
- Enfòme pasyan an si pa gen amelyorasyon apre 2 jou, ale nan sant sante a</v>
      </c>
      <c r="F441" s="34"/>
      <c r="G441" s="34"/>
      <c r="H441" s="37"/>
      <c r="I441" s="34"/>
      <c r="J441" s="34"/>
      <c r="K441" s="34"/>
      <c r="L441" s="34"/>
      <c r="M441" s="34"/>
      <c r="N441" s="34"/>
      <c r="O441" s="34"/>
      <c r="P441" s="34"/>
      <c r="Q441" s="34"/>
      <c r="R441" s="34"/>
      <c r="S441" s="34"/>
      <c r="T441" s="34"/>
      <c r="U441" s="34"/>
      <c r="V441" s="34"/>
      <c r="W441" s="34"/>
      <c r="X441" s="34"/>
      <c r="Y441" s="34"/>
      <c r="Z441" s="36"/>
      <c r="AA441" s="36"/>
      <c r="AB441" s="36"/>
      <c r="AC441" s="36"/>
      <c r="AD441" s="36"/>
      <c r="AE441" s="36"/>
      <c r="AF441" s="36"/>
      <c r="AG441" s="36"/>
      <c r="AH441" s="36"/>
    </row>
    <row r="442">
      <c r="A442" s="37" t="s">
        <v>445</v>
      </c>
      <c r="B442" s="40" t="s">
        <v>930</v>
      </c>
      <c r="C442" s="37" t="s">
        <v>931</v>
      </c>
      <c r="D442" s="37" t="str">
        <f>IFERROR(__xludf.DUMMYFUNCTION("GOOGLETRANSLATE(C442,""en"",""fr"")"),"Avez-vous distribué 21 comprimés de ciprofloxacine 500 mg ?")</f>
        <v>Avez-vous distribué 21 comprimés de ciprofloxacine 500 mg ?</v>
      </c>
      <c r="E442" s="37" t="str">
        <f>IFERROR(__xludf.DUMMYFUNCTION("GOOGLETRANSLATE(C442,""en"",""ht"")"),"Èske ou te distribye 21 Ciprofloxacin 500mg?")</f>
        <v>Èske ou te distribye 21 Ciprofloxacin 500mg?</v>
      </c>
      <c r="F442" s="34"/>
      <c r="G442" s="34"/>
      <c r="H442" s="34"/>
      <c r="I442" s="34"/>
      <c r="J442" s="34"/>
      <c r="K442" s="34"/>
      <c r="L442" s="34"/>
      <c r="M442" s="34"/>
      <c r="N442" s="34"/>
      <c r="O442" s="34"/>
      <c r="P442" s="34"/>
      <c r="Q442" s="34"/>
      <c r="R442" s="34"/>
      <c r="S442" s="34"/>
      <c r="T442" s="34"/>
      <c r="U442" s="34"/>
      <c r="V442" s="34"/>
      <c r="W442" s="34"/>
      <c r="X442" s="34"/>
      <c r="Y442" s="34"/>
      <c r="Z442" s="36"/>
      <c r="AA442" s="36"/>
      <c r="AB442" s="36"/>
      <c r="AC442" s="36"/>
      <c r="AD442" s="36"/>
      <c r="AE442" s="36"/>
      <c r="AF442" s="36"/>
      <c r="AG442" s="36"/>
      <c r="AH442" s="36"/>
    </row>
    <row r="443">
      <c r="A443" s="37" t="s">
        <v>102</v>
      </c>
      <c r="B443" s="40" t="s">
        <v>932</v>
      </c>
      <c r="C443" s="37" t="s">
        <v>54</v>
      </c>
      <c r="D443" s="34" t="str">
        <f>IFERROR(__xludf.DUMMYFUNCTION("GOOGLETRANSLATE(C443,""en"",""fr"")"),"SANS ÉTIQUETTE")</f>
        <v>SANS ÉTIQUETTE</v>
      </c>
      <c r="E443" s="34" t="str">
        <f>IFERROR(__xludf.DUMMYFUNCTION("GOOGLETRANSLATE(C443,""en"",""ht"")"),"PA GEN_ETIKÈT")</f>
        <v>PA GEN_ETIKÈT</v>
      </c>
      <c r="F443" s="34"/>
      <c r="G443" s="34"/>
      <c r="H443" s="34"/>
      <c r="I443" s="34"/>
      <c r="J443" s="34"/>
      <c r="K443" s="34"/>
      <c r="L443" s="34"/>
      <c r="M443" s="34"/>
      <c r="N443" s="34"/>
      <c r="O443" s="34"/>
      <c r="P443" s="34"/>
      <c r="Q443" s="37" t="s">
        <v>933</v>
      </c>
      <c r="R443" s="34"/>
      <c r="S443" s="34"/>
      <c r="T443" s="34"/>
      <c r="U443" s="34"/>
      <c r="V443" s="34"/>
      <c r="W443" s="34"/>
      <c r="X443" s="34"/>
      <c r="Y443" s="34"/>
      <c r="Z443" s="36"/>
      <c r="AA443" s="36"/>
      <c r="AB443" s="36"/>
      <c r="AC443" s="36"/>
      <c r="AD443" s="36"/>
      <c r="AE443" s="36"/>
      <c r="AF443" s="36"/>
      <c r="AG443" s="36"/>
      <c r="AH443" s="36"/>
    </row>
    <row r="444">
      <c r="A444" s="37" t="s">
        <v>451</v>
      </c>
      <c r="B444" s="40" t="s">
        <v>934</v>
      </c>
      <c r="C444" s="37" t="s">
        <v>453</v>
      </c>
      <c r="D444" s="39" t="str">
        <f>IFERROR(__xludf.DUMMYFUNCTION("GOOGLETRANSLATE(C444,""en"",""fr"")"),"Vous avez laissé au moins une confirmation de médicament vide. Si cela est intentionnel, veuillez indiquer pourquoi ci-dessous.")</f>
        <v>Vous avez laissé au moins une confirmation de médicament vide. Si cela est intentionnel, veuillez indiquer pourquoi ci-dessous.</v>
      </c>
      <c r="E444" s="39" t="str">
        <f>IFERROR(__xludf.DUMMYFUNCTION("GOOGLETRANSLATE(C444,""en"",""ht"")"),"Ou kite omwen yon konfimasyon medikaman vid. Si se espre, ekri poukisa anba a.")</f>
        <v>Ou kite omwen yon konfimasyon medikaman vid. Si se espre, ekri poukisa anba a.</v>
      </c>
      <c r="F444" s="37" t="s">
        <v>454</v>
      </c>
      <c r="G444" s="37" t="str">
        <f>IFERROR(__xludf.DUMMYFUNCTION("GOOGLETRANSLATE(F444,""en"",""fr"")"),"Si vous avez distribué une quantité différente de médicaments, notez combien.")</f>
        <v>Si vous avez distribué une quantité différente de médicaments, notez combien.</v>
      </c>
      <c r="H444" s="37" t="str">
        <f>IFERROR(__xludf.DUMMYFUNCTION("GOOGLETRANSLATE(F444,""en"",""ht"")"),"Si ou te distribye yon kantite dwòg diferan, anrejistre konbyen.")</f>
        <v>Si ou te distribye yon kantite dwòg diferan, anrejistre konbyen.</v>
      </c>
      <c r="I444" s="37" t="s">
        <v>68</v>
      </c>
      <c r="J444" s="37" t="s">
        <v>935</v>
      </c>
      <c r="K444" s="34"/>
      <c r="L444" s="34"/>
      <c r="M444" s="34"/>
      <c r="N444" s="34"/>
      <c r="O444" s="34"/>
      <c r="P444" s="34"/>
      <c r="Q444" s="34"/>
      <c r="R444" s="34"/>
      <c r="S444" s="34"/>
      <c r="T444" s="34"/>
      <c r="U444" s="34"/>
      <c r="V444" s="34"/>
      <c r="W444" s="34"/>
      <c r="X444" s="34"/>
      <c r="Y444" s="34"/>
      <c r="Z444" s="36"/>
      <c r="AA444" s="36"/>
      <c r="AB444" s="36"/>
      <c r="AC444" s="36"/>
      <c r="AD444" s="36"/>
      <c r="AE444" s="36"/>
      <c r="AF444" s="36"/>
      <c r="AG444" s="36"/>
      <c r="AH444" s="36"/>
    </row>
    <row r="445">
      <c r="A445" s="37" t="s">
        <v>451</v>
      </c>
      <c r="B445" s="40" t="s">
        <v>936</v>
      </c>
      <c r="C445" s="37" t="s">
        <v>457</v>
      </c>
      <c r="D445" s="37" t="str">
        <f>IFERROR(__xludf.DUMMYFUNCTION("GOOGLETRANSLATE(C445,""en"",""fr"")"),"Notes cliniques :")</f>
        <v>Notes cliniques :</v>
      </c>
      <c r="E445" s="37" t="str">
        <f>IFERROR(__xludf.DUMMYFUNCTION("GOOGLETRANSLATE(C445,""en"",""ht"")"),"Nòt klinik:")</f>
        <v>Nòt klinik:</v>
      </c>
      <c r="F445" s="34"/>
      <c r="G445" s="34"/>
      <c r="H445" s="34"/>
      <c r="I445" s="34"/>
      <c r="J445" s="34"/>
      <c r="K445" s="34"/>
      <c r="L445" s="34"/>
      <c r="M445" s="34"/>
      <c r="N445" s="34"/>
      <c r="O445" s="34"/>
      <c r="P445" s="34"/>
      <c r="Q445" s="34"/>
      <c r="R445" s="34"/>
      <c r="S445" s="34"/>
      <c r="T445" s="34"/>
      <c r="U445" s="34"/>
      <c r="V445" s="34"/>
      <c r="W445" s="34"/>
      <c r="X445" s="34"/>
      <c r="Y445" s="34"/>
      <c r="Z445" s="36"/>
      <c r="AA445" s="36"/>
      <c r="AB445" s="36"/>
      <c r="AC445" s="36"/>
      <c r="AD445" s="36"/>
      <c r="AE445" s="36"/>
      <c r="AF445" s="36"/>
      <c r="AG445" s="36"/>
      <c r="AH445" s="36"/>
    </row>
    <row r="446">
      <c r="A446" s="37" t="s">
        <v>82</v>
      </c>
      <c r="B446" s="40" t="s">
        <v>921</v>
      </c>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6"/>
      <c r="AA446" s="36"/>
      <c r="AB446" s="36"/>
      <c r="AC446" s="36"/>
      <c r="AD446" s="36"/>
      <c r="AE446" s="36"/>
      <c r="AF446" s="36"/>
      <c r="AG446" s="36"/>
      <c r="AH446" s="36"/>
    </row>
    <row r="447">
      <c r="A447" s="37" t="s">
        <v>49</v>
      </c>
      <c r="B447" s="40" t="s">
        <v>937</v>
      </c>
      <c r="C447" s="37" t="s">
        <v>352</v>
      </c>
      <c r="D447" s="39" t="str">
        <f>IFERROR(__xludf.DUMMYFUNCTION("GOOGLETRANSLATE(C447,""en"",""fr"")"),"Impétigo ou folliculite")</f>
        <v>Impétigo ou folliculite</v>
      </c>
      <c r="E447" s="39" t="str">
        <f>IFERROR(__xludf.DUMMYFUNCTION("GOOGLETRANSLATE(C447,""en"",""ht"")"),"Enpetigo oswa Folikulit")</f>
        <v>Enpetigo oswa Folikulit</v>
      </c>
      <c r="F447" s="34"/>
      <c r="G447" s="34"/>
      <c r="H447" s="34"/>
      <c r="I447" s="34"/>
      <c r="J447" s="37" t="s">
        <v>353</v>
      </c>
      <c r="K447" s="37" t="s">
        <v>58</v>
      </c>
      <c r="L447" s="34"/>
      <c r="M447" s="34"/>
      <c r="N447" s="34"/>
      <c r="O447" s="34"/>
      <c r="P447" s="34"/>
      <c r="Q447" s="34"/>
      <c r="R447" s="34"/>
      <c r="S447" s="34"/>
      <c r="T447" s="34"/>
      <c r="U447" s="34"/>
      <c r="V447" s="34"/>
      <c r="W447" s="34"/>
      <c r="X447" s="34"/>
      <c r="Y447" s="34"/>
      <c r="Z447" s="36"/>
      <c r="AA447" s="36"/>
      <c r="AB447" s="36"/>
      <c r="AC447" s="36"/>
      <c r="AD447" s="36"/>
      <c r="AE447" s="36"/>
      <c r="AF447" s="36"/>
      <c r="AG447" s="36"/>
      <c r="AH447" s="36"/>
    </row>
    <row r="448">
      <c r="A448" s="37" t="s">
        <v>38</v>
      </c>
      <c r="B448" s="40" t="s">
        <v>938</v>
      </c>
      <c r="C448" s="37" t="s">
        <v>939</v>
      </c>
      <c r="D448" s="39" t="str">
        <f>IFERROR(__xludf.DUMMYFUNCTION("GOOGLETRANSLATE(C448,""en"",""fr"")"),"Le patient souffre d'impétigo ou de folliculite.")</f>
        <v>Le patient souffre d'impétigo ou de folliculite.</v>
      </c>
      <c r="E448" s="39" t="str">
        <f>IFERROR(__xludf.DUMMYFUNCTION("GOOGLETRANSLATE(C448,""en"",""ht"")"),"Pasyan an gen enpetigo oswa folikulit")</f>
        <v>Pasyan an gen enpetigo oswa folikulit</v>
      </c>
      <c r="F448" s="34"/>
      <c r="G448" s="34"/>
      <c r="H448" s="34"/>
      <c r="I448" s="34"/>
      <c r="K448" s="37" t="s">
        <v>182</v>
      </c>
      <c r="L448" s="34"/>
      <c r="M448" s="34"/>
      <c r="N448" s="34"/>
      <c r="O448" s="34"/>
      <c r="P448" s="34"/>
      <c r="Q448" s="34"/>
      <c r="R448" s="34"/>
      <c r="S448" s="34"/>
      <c r="T448" s="34"/>
      <c r="U448" s="34"/>
      <c r="V448" s="34"/>
      <c r="W448" s="34"/>
      <c r="X448" s="34"/>
      <c r="Y448" s="34"/>
      <c r="Z448" s="36"/>
      <c r="AA448" s="36"/>
      <c r="AB448" s="36"/>
      <c r="AC448" s="36"/>
      <c r="AD448" s="36"/>
      <c r="AE448" s="36"/>
      <c r="AF448" s="36"/>
      <c r="AG448" s="36"/>
      <c r="AH448" s="36"/>
    </row>
    <row r="449">
      <c r="A449" s="37" t="s">
        <v>38</v>
      </c>
      <c r="B449" s="40" t="s">
        <v>940</v>
      </c>
      <c r="C449" s="37" t="s">
        <v>941</v>
      </c>
      <c r="D449" s="39" t="str">
        <f>IFERROR(__xludf.DUMMYFUNCTION("GOOGLETRANSLATE(C449,""en"",""fr"")"),"Protocole :
- Nettoyer les plaies avec un antiseptique.
- Drainer le pus si celui-ci fluctue.
- En cas de plaies de plus de 4 cm, de stries rouges, de ganglions douloureux ou d’abcès multiples persistant depuis 5 jours ou plus, administrer (et commence"&amp;"r immédiatement) 40 comprimés de cloxacilline 500 mg, à raison de 2 comprimés 4 fois par jour, toutes les 6 heures, pendant 5 jours.
- Appliquer une crème antibiotique ou une pommade triple antibiotique.")</f>
        <v>Protocole :
- Nettoyer les plaies avec un antiseptique.
- Drainer le pus si celui-ci fluctue.
- En cas de plaies de plus de 4 cm, de stries rouges, de ganglions douloureux ou d’abcès multiples persistant depuis 5 jours ou plus, administrer (et commencer immédiatement) 40 comprimés de cloxacilline 500 mg, à raison de 2 comprimés 4 fois par jour, toutes les 6 heures, pendant 5 jours.
- Appliquer une crème antibiotique ou une pommade triple antibiotique.</v>
      </c>
      <c r="E449" s="39" t="str">
        <f>IFERROR(__xludf.DUMMYFUNCTION("GOOGLETRANSLATE(C449,""en"",""ht"")"),"Pwotokòl:
- Netwaye maleng yo ak yon antiseptik
- Vide pi a si li chanje
- Si gen maleng ki pi gwo pase 4cm, tras wouj, gangliyon sansib, oswa plizyè absè pandan 5 jou oswa plis, distribye (epi kòmanse imedyatman) 40 grenn Cloxacillin 500mg pou pran 2 gre"&amp;"nn 4 fwa pa jou chak 6 èdtan pandan 5 jou.
- Aplike krèm antibyotik / ponmad trip antibyotik
")</f>
        <v>Pwotokòl:
- Netwaye maleng yo ak yon antiseptik
- Vide pi a si li chanje
- Si gen maleng ki pi gwo pase 4cm, tras wouj, gangliyon sansib, oswa plizyè absè pandan 5 jou oswa plis, distribye (epi kòmanse imedyatman) 40 grenn Cloxacillin 500mg pou pran 2 grenn 4 fwa pa jou chak 6 èdtan pandan 5 jou.
- Aplike krèm antibyotik / ponmad trip antibyotik
</v>
      </c>
      <c r="F449" s="34"/>
      <c r="G449" s="34"/>
      <c r="H449" s="34"/>
      <c r="I449" s="34"/>
      <c r="J449" s="34"/>
      <c r="K449" s="34"/>
      <c r="L449" s="34"/>
      <c r="M449" s="34"/>
      <c r="N449" s="34"/>
      <c r="O449" s="34"/>
      <c r="P449" s="34"/>
      <c r="Q449" s="34"/>
      <c r="R449" s="34"/>
      <c r="S449" s="34"/>
      <c r="T449" s="34"/>
      <c r="U449" s="34"/>
      <c r="V449" s="34"/>
      <c r="W449" s="34"/>
      <c r="X449" s="34"/>
      <c r="Y449" s="34"/>
      <c r="Z449" s="36"/>
      <c r="AA449" s="36"/>
      <c r="AB449" s="36"/>
      <c r="AC449" s="36"/>
      <c r="AD449" s="36"/>
      <c r="AE449" s="36"/>
      <c r="AF449" s="36"/>
      <c r="AG449" s="36"/>
      <c r="AH449" s="36"/>
    </row>
    <row r="450">
      <c r="A450" s="37" t="s">
        <v>38</v>
      </c>
      <c r="B450" s="40" t="s">
        <v>942</v>
      </c>
      <c r="C450" s="37" t="s">
        <v>444</v>
      </c>
      <c r="D450" s="39" t="str">
        <f>IFERROR(__xludf.DUMMYFUNCTION("GOOGLETRANSLATE(C450,""en"",""fr"")"),"Accompagnement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450" s="39" t="str">
        <f>IFERROR(__xludf.DUMMYFUNCTION("GOOGLETRANSLATE(C450,""en"",""ht"")"),"Konsèy:
- (Konsèy TODO pa bay nan pwotokòl swen yo - ajoute kòm espas vid pou fidbak enfimyè yo)")</f>
        <v>Konsèy:
- (Konsèy TODO pa bay nan pwotokòl swen yo - ajoute kòm espas vid pou fidbak enfimyè yo)</v>
      </c>
      <c r="F450" s="34"/>
      <c r="G450" s="34"/>
      <c r="H450" s="34"/>
      <c r="I450" s="34"/>
      <c r="J450" s="34"/>
      <c r="K450" s="34"/>
      <c r="L450" s="34"/>
      <c r="M450" s="34"/>
      <c r="N450" s="34"/>
      <c r="O450" s="34"/>
      <c r="P450" s="34"/>
      <c r="Q450" s="34"/>
      <c r="R450" s="34"/>
      <c r="S450" s="34"/>
      <c r="T450" s="34"/>
      <c r="U450" s="34"/>
      <c r="V450" s="34"/>
      <c r="W450" s="34"/>
      <c r="X450" s="34"/>
      <c r="Y450" s="34"/>
      <c r="Z450" s="36"/>
      <c r="AA450" s="36"/>
      <c r="AB450" s="36"/>
      <c r="AC450" s="36"/>
      <c r="AD450" s="36"/>
      <c r="AE450" s="36"/>
      <c r="AF450" s="36"/>
      <c r="AG450" s="36"/>
      <c r="AH450" s="36"/>
    </row>
    <row r="451">
      <c r="A451" s="37" t="s">
        <v>639</v>
      </c>
      <c r="B451" s="40" t="s">
        <v>943</v>
      </c>
      <c r="C451" s="37" t="s">
        <v>944</v>
      </c>
      <c r="D451" s="39" t="str">
        <f>IFERROR(__xludf.DUMMYFUNCTION("GOOGLETRANSLATE(C451,""en"",""fr"")"),"Allez-vous distribuer 40 comprimés de Cloxacilline 500 mg ?")</f>
        <v>Allez-vous distribuer 40 comprimés de Cloxacilline 500 mg ?</v>
      </c>
      <c r="E451" s="39" t="str">
        <f>IFERROR(__xludf.DUMMYFUNCTION("GOOGLETRANSLATE(C451,""en"",""ht"")"),"Èske w ap distribye 40 Cloxacillin 500mg?")</f>
        <v>Èske w ap distribye 40 Cloxacillin 500mg?</v>
      </c>
      <c r="F451" s="34"/>
      <c r="G451" s="34"/>
      <c r="H451" s="34"/>
      <c r="I451" s="34"/>
      <c r="J451" s="34"/>
      <c r="K451" s="34"/>
      <c r="L451" s="34"/>
      <c r="M451" s="34"/>
      <c r="N451" s="34"/>
      <c r="O451" s="34"/>
      <c r="P451" s="34"/>
      <c r="Q451" s="34"/>
      <c r="R451" s="34"/>
      <c r="S451" s="34"/>
      <c r="T451" s="34"/>
      <c r="U451" s="34"/>
      <c r="V451" s="34"/>
      <c r="W451" s="34"/>
      <c r="X451" s="34"/>
      <c r="Y451" s="34"/>
      <c r="Z451" s="36"/>
      <c r="AA451" s="36"/>
      <c r="AB451" s="36"/>
      <c r="AC451" s="36"/>
      <c r="AD451" s="36"/>
      <c r="AE451" s="36"/>
      <c r="AF451" s="36"/>
      <c r="AG451" s="36"/>
      <c r="AH451" s="36"/>
    </row>
    <row r="452">
      <c r="A452" s="37" t="s">
        <v>445</v>
      </c>
      <c r="B452" s="40" t="s">
        <v>945</v>
      </c>
      <c r="C452" s="37" t="s">
        <v>946</v>
      </c>
      <c r="D452" s="46" t="s">
        <v>947</v>
      </c>
      <c r="E452" s="46" t="s">
        <v>948</v>
      </c>
      <c r="F452" s="34"/>
      <c r="G452" s="34"/>
      <c r="H452" s="34"/>
      <c r="I452" s="34"/>
      <c r="J452" s="37" t="s">
        <v>949</v>
      </c>
      <c r="K452" s="34"/>
      <c r="L452" s="34"/>
      <c r="M452" s="34"/>
      <c r="N452" s="34"/>
      <c r="O452" s="34"/>
      <c r="P452" s="34"/>
      <c r="Q452" s="34"/>
      <c r="R452" s="34"/>
      <c r="S452" s="34"/>
      <c r="T452" s="34"/>
      <c r="U452" s="34"/>
      <c r="V452" s="34"/>
      <c r="W452" s="34"/>
      <c r="X452" s="34"/>
      <c r="Y452" s="34"/>
      <c r="Z452" s="36"/>
      <c r="AA452" s="36"/>
      <c r="AB452" s="36"/>
      <c r="AC452" s="36"/>
      <c r="AD452" s="36"/>
      <c r="AE452" s="36"/>
      <c r="AF452" s="36"/>
      <c r="AG452" s="36"/>
      <c r="AH452" s="36"/>
    </row>
    <row r="453">
      <c r="A453" s="37" t="s">
        <v>102</v>
      </c>
      <c r="B453" s="40" t="s">
        <v>950</v>
      </c>
      <c r="C453" s="37" t="s">
        <v>54</v>
      </c>
      <c r="D453" s="39" t="str">
        <f>IFERROR(__xludf.DUMMYFUNCTION("GOOGLETRANSLATE(C453,""en"",""fr"")"),"SANS ÉTIQUETTE")</f>
        <v>SANS ÉTIQUETTE</v>
      </c>
      <c r="E453" s="39" t="str">
        <f>IFERROR(__xludf.DUMMYFUNCTION("GOOGLETRANSLATE(C453,""en"",""ht"")"),"PA GEN_ETIKÈT")</f>
        <v>PA GEN_ETIKÈT</v>
      </c>
      <c r="F453" s="34"/>
      <c r="G453" s="34"/>
      <c r="H453" s="34"/>
      <c r="I453" s="34"/>
      <c r="J453" s="37"/>
      <c r="K453" s="34"/>
      <c r="L453" s="34"/>
      <c r="M453" s="34"/>
      <c r="N453" s="34"/>
      <c r="O453" s="34"/>
      <c r="P453" s="34"/>
      <c r="Q453" s="37" t="s">
        <v>951</v>
      </c>
      <c r="R453" s="34"/>
      <c r="S453" s="34"/>
      <c r="T453" s="34"/>
      <c r="U453" s="34"/>
      <c r="V453" s="34"/>
      <c r="W453" s="34"/>
      <c r="X453" s="34"/>
      <c r="Y453" s="34"/>
      <c r="Z453" s="36"/>
      <c r="AA453" s="36"/>
      <c r="AB453" s="36"/>
      <c r="AC453" s="36"/>
      <c r="AD453" s="36"/>
      <c r="AE453" s="36"/>
      <c r="AF453" s="36"/>
      <c r="AG453" s="36"/>
      <c r="AH453" s="36"/>
    </row>
    <row r="454">
      <c r="A454" s="37" t="s">
        <v>445</v>
      </c>
      <c r="B454" s="40" t="s">
        <v>952</v>
      </c>
      <c r="C454" s="37" t="s">
        <v>953</v>
      </c>
      <c r="D454" s="39" t="str">
        <f>IFERROR(__xludf.DUMMYFUNCTION("GOOGLETRANSLATE(C454,""en"",""fr"")"),"Avez-vous appliqué la pommade triple antibiotique ?")</f>
        <v>Avez-vous appliqué la pommade triple antibiotique ?</v>
      </c>
      <c r="E454" s="39" t="str">
        <f>IFERROR(__xludf.DUMMYFUNCTION("GOOGLETRANSLATE(C454,""en"",""ht"")"),"Èske ou te aplike odè trip antibyotik la?")</f>
        <v>Èske ou te aplike odè trip antibyotik la?</v>
      </c>
      <c r="F454" s="34"/>
      <c r="G454" s="34"/>
      <c r="H454" s="34"/>
      <c r="I454" s="34"/>
      <c r="J454" s="34"/>
      <c r="K454" s="34"/>
      <c r="L454" s="34"/>
      <c r="M454" s="34"/>
      <c r="N454" s="34"/>
      <c r="O454" s="34"/>
      <c r="P454" s="34"/>
      <c r="Q454" s="34"/>
      <c r="R454" s="34"/>
      <c r="S454" s="34"/>
      <c r="T454" s="34"/>
      <c r="U454" s="34"/>
      <c r="V454" s="34"/>
      <c r="W454" s="34"/>
      <c r="X454" s="34"/>
      <c r="Y454" s="34"/>
      <c r="Z454" s="36"/>
      <c r="AA454" s="36"/>
      <c r="AB454" s="36"/>
      <c r="AC454" s="36"/>
      <c r="AD454" s="36"/>
      <c r="AE454" s="36"/>
      <c r="AF454" s="36"/>
      <c r="AG454" s="36"/>
      <c r="AH454" s="36"/>
    </row>
    <row r="455">
      <c r="A455" s="37" t="s">
        <v>102</v>
      </c>
      <c r="B455" s="40" t="s">
        <v>954</v>
      </c>
      <c r="C455" s="37" t="s">
        <v>54</v>
      </c>
      <c r="D455" s="39" t="str">
        <f>IFERROR(__xludf.DUMMYFUNCTION("GOOGLETRANSLATE(C455,""en"",""fr"")"),"SANS ÉTIQUETTE")</f>
        <v>SANS ÉTIQUETTE</v>
      </c>
      <c r="E455" s="39" t="str">
        <f>IFERROR(__xludf.DUMMYFUNCTION("GOOGLETRANSLATE(C455,""en"",""ht"")"),"PA GEN_ETIKÈT")</f>
        <v>PA GEN_ETIKÈT</v>
      </c>
      <c r="F455" s="34"/>
      <c r="G455" s="34"/>
      <c r="H455" s="34"/>
      <c r="I455" s="34"/>
      <c r="J455" s="34"/>
      <c r="K455" s="34"/>
      <c r="L455" s="34"/>
      <c r="M455" s="34"/>
      <c r="N455" s="34"/>
      <c r="O455" s="34"/>
      <c r="P455" s="34"/>
      <c r="Q455" s="37" t="s">
        <v>955</v>
      </c>
      <c r="R455" s="34"/>
      <c r="S455" s="34"/>
      <c r="T455" s="34"/>
      <c r="U455" s="34"/>
      <c r="V455" s="34"/>
      <c r="W455" s="34"/>
      <c r="X455" s="34"/>
      <c r="Y455" s="34"/>
      <c r="Z455" s="36"/>
      <c r="AA455" s="36"/>
      <c r="AB455" s="36"/>
      <c r="AC455" s="36"/>
      <c r="AD455" s="36"/>
      <c r="AE455" s="36"/>
      <c r="AF455" s="36"/>
      <c r="AG455" s="36"/>
      <c r="AH455" s="36"/>
    </row>
    <row r="456">
      <c r="A456" s="37" t="s">
        <v>451</v>
      </c>
      <c r="B456" s="40" t="s">
        <v>956</v>
      </c>
      <c r="C456" s="37" t="s">
        <v>453</v>
      </c>
      <c r="D456" s="39" t="str">
        <f>IFERROR(__xludf.DUMMYFUNCTION("GOOGLETRANSLATE(C456,""en"",""fr"")"),"Vous avez laissé au moins une confirmation de médicament vide. Si cela est intentionnel, veuillez indiquer pourquoi ci-dessous.")</f>
        <v>Vous avez laissé au moins une confirmation de médicament vide. Si cela est intentionnel, veuillez indiquer pourquoi ci-dessous.</v>
      </c>
      <c r="E456" s="39" t="str">
        <f>IFERROR(__xludf.DUMMYFUNCTION("GOOGLETRANSLATE(C456,""en"",""ht"")"),"Ou kite omwen yon konfimasyon medikaman vid. Si se espre, ekri poukisa anba a.")</f>
        <v>Ou kite omwen yon konfimasyon medikaman vid. Si se espre, ekri poukisa anba a.</v>
      </c>
      <c r="F456" s="37" t="s">
        <v>454</v>
      </c>
      <c r="G456" s="39" t="str">
        <f>IFERROR(__xludf.DUMMYFUNCTION("GOOGLETRANSLATE(F456,""en"",""fr"")"),"Si vous avez distribué une quantité différente de médicaments, notez combien.")</f>
        <v>Si vous avez distribué une quantité différente de médicaments, notez combien.</v>
      </c>
      <c r="H456" s="39" t="str">
        <f>IFERROR(__xludf.DUMMYFUNCTION("GOOGLETRANSLATE(F456,""en"",""ht"")"),"Si ou te distribye yon kantite dwòg diferan, anrejistre konbyen.")</f>
        <v>Si ou te distribye yon kantite dwòg diferan, anrejistre konbyen.</v>
      </c>
      <c r="I456" s="37" t="s">
        <v>68</v>
      </c>
      <c r="J456" s="37" t="s">
        <v>957</v>
      </c>
      <c r="K456" s="34"/>
      <c r="L456" s="34"/>
      <c r="M456" s="34"/>
      <c r="N456" s="34"/>
      <c r="O456" s="34"/>
      <c r="P456" s="34"/>
      <c r="Q456" s="34"/>
      <c r="R456" s="34"/>
      <c r="S456" s="34"/>
      <c r="T456" s="34"/>
      <c r="U456" s="34"/>
      <c r="V456" s="34"/>
      <c r="W456" s="34"/>
      <c r="X456" s="34"/>
      <c r="Y456" s="34"/>
      <c r="Z456" s="36"/>
      <c r="AA456" s="36"/>
      <c r="AB456" s="36"/>
      <c r="AC456" s="36"/>
      <c r="AD456" s="36"/>
      <c r="AE456" s="36"/>
      <c r="AF456" s="36"/>
      <c r="AG456" s="36"/>
      <c r="AH456" s="36"/>
    </row>
    <row r="457">
      <c r="A457" s="37" t="s">
        <v>451</v>
      </c>
      <c r="B457" s="40" t="s">
        <v>958</v>
      </c>
      <c r="C457" s="37" t="s">
        <v>457</v>
      </c>
      <c r="D457" s="39" t="str">
        <f>IFERROR(__xludf.DUMMYFUNCTION("GOOGLETRANSLATE(C457,""en"",""fr"")"),"Notes cliniques :")</f>
        <v>Notes cliniques :</v>
      </c>
      <c r="E457" s="39" t="str">
        <f>IFERROR(__xludf.DUMMYFUNCTION("GOOGLETRANSLATE(C457,""en"",""ht"")"),"Nòt klinik:")</f>
        <v>Nòt klinik:</v>
      </c>
      <c r="F457" s="34"/>
      <c r="G457" s="34"/>
      <c r="H457" s="34"/>
      <c r="I457" s="34"/>
      <c r="J457" s="34"/>
      <c r="K457" s="34"/>
      <c r="L457" s="34"/>
      <c r="M457" s="34"/>
      <c r="N457" s="34"/>
      <c r="O457" s="34"/>
      <c r="P457" s="34"/>
      <c r="Q457" s="34"/>
      <c r="R457" s="34"/>
      <c r="S457" s="34"/>
      <c r="T457" s="34"/>
      <c r="U457" s="34"/>
      <c r="V457" s="34"/>
      <c r="W457" s="34"/>
      <c r="X457" s="34"/>
      <c r="Y457" s="34"/>
      <c r="Z457" s="36"/>
      <c r="AA457" s="36"/>
      <c r="AB457" s="36"/>
      <c r="AC457" s="36"/>
      <c r="AD457" s="36"/>
      <c r="AE457" s="36"/>
      <c r="AF457" s="36"/>
      <c r="AG457" s="36"/>
      <c r="AH457" s="36"/>
    </row>
    <row r="458">
      <c r="A458" s="37" t="s">
        <v>82</v>
      </c>
      <c r="B458" s="40" t="s">
        <v>937</v>
      </c>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6"/>
      <c r="AA458" s="36"/>
      <c r="AB458" s="36"/>
      <c r="AC458" s="36"/>
      <c r="AD458" s="36"/>
      <c r="AE458" s="36"/>
      <c r="AF458" s="36"/>
      <c r="AG458" s="36"/>
      <c r="AH458" s="36"/>
    </row>
    <row r="459">
      <c r="A459" s="37" t="s">
        <v>49</v>
      </c>
      <c r="B459" s="40" t="s">
        <v>959</v>
      </c>
      <c r="C459" s="37" t="s">
        <v>366</v>
      </c>
      <c r="D459" s="39" t="str">
        <f>IFERROR(__xludf.DUMMYFUNCTION("GOOGLETRANSLATE(C459,""en"",""fr"")"),"Gale")</f>
        <v>Gale</v>
      </c>
      <c r="E459" s="39" t="str">
        <f>IFERROR(__xludf.DUMMYFUNCTION("GOOGLETRANSLATE(C459,""en"",""ht"")"),"Gale")</f>
        <v>Gale</v>
      </c>
      <c r="F459" s="34"/>
      <c r="G459" s="34"/>
      <c r="H459" s="34"/>
      <c r="I459" s="34"/>
      <c r="J459" s="37" t="s">
        <v>367</v>
      </c>
      <c r="K459" s="37" t="s">
        <v>58</v>
      </c>
      <c r="L459" s="34"/>
      <c r="M459" s="34"/>
      <c r="N459" s="34"/>
      <c r="O459" s="34"/>
      <c r="P459" s="34"/>
      <c r="Q459" s="34"/>
      <c r="R459" s="34"/>
      <c r="S459" s="34"/>
      <c r="T459" s="34"/>
      <c r="U459" s="34"/>
      <c r="V459" s="34"/>
      <c r="W459" s="34"/>
      <c r="X459" s="34"/>
      <c r="Y459" s="34"/>
      <c r="Z459" s="36"/>
      <c r="AA459" s="36"/>
      <c r="AB459" s="36"/>
      <c r="AC459" s="36"/>
      <c r="AD459" s="36"/>
      <c r="AE459" s="36"/>
      <c r="AF459" s="36"/>
      <c r="AG459" s="36"/>
      <c r="AH459" s="36"/>
    </row>
    <row r="460">
      <c r="A460" s="37" t="s">
        <v>38</v>
      </c>
      <c r="B460" s="40" t="s">
        <v>960</v>
      </c>
      <c r="C460" s="37" t="s">
        <v>961</v>
      </c>
      <c r="D460" s="39" t="str">
        <f>IFERROR(__xludf.DUMMYFUNCTION("GOOGLETRANSLATE(C460,""en"",""fr"")"),"Le patient est atteint de gale.")</f>
        <v>Le patient est atteint de gale.</v>
      </c>
      <c r="E460" s="39" t="str">
        <f>IFERROR(__xludf.DUMMYFUNCTION("GOOGLETRANSLATE(C460,""en"",""ht"")"),"Pasyan an gen gal")</f>
        <v>Pasyan an gen gal</v>
      </c>
      <c r="F460" s="34"/>
      <c r="G460" s="34"/>
      <c r="H460" s="34"/>
      <c r="I460" s="34"/>
      <c r="K460" s="37" t="s">
        <v>182</v>
      </c>
      <c r="L460" s="34"/>
      <c r="M460" s="34"/>
      <c r="N460" s="34"/>
      <c r="O460" s="34"/>
      <c r="P460" s="34"/>
      <c r="Q460" s="34"/>
      <c r="R460" s="34"/>
      <c r="S460" s="34"/>
      <c r="T460" s="34"/>
      <c r="U460" s="34"/>
      <c r="V460" s="34"/>
      <c r="W460" s="34"/>
      <c r="X460" s="34"/>
      <c r="Y460" s="34"/>
      <c r="Z460" s="36"/>
      <c r="AA460" s="36"/>
      <c r="AB460" s="36"/>
      <c r="AC460" s="36"/>
      <c r="AD460" s="36"/>
      <c r="AE460" s="36"/>
      <c r="AF460" s="36"/>
      <c r="AG460" s="36"/>
      <c r="AH460" s="36"/>
    </row>
    <row r="461">
      <c r="A461" s="37" t="s">
        <v>38</v>
      </c>
      <c r="B461" s="40" t="s">
        <v>962</v>
      </c>
      <c r="C461" s="37" t="s">
        <v>963</v>
      </c>
      <c r="D461" s="39" t="str">
        <f>IFERROR(__xludf.DUMMYFUNCTION("GOOGLETRANSLATE(C461,""en"",""fr"")"),"Protocole :
- Appliquer de la lotion à la calamine pour soulager les démangeaisons.
- Distribuer un flacon de benzoate de benzyle topique à 25 %, à appliquer le soir et à renouveler pendant 3 jours après lavage.
- En cas d’infection (rougeur, chaleur, "&amp;"présence de pus), distribuer 40 comprimés de cloxacilline 500 mg, à prendre 2 comprimés par jour toutes les 6 heures pendant 5 jours.")</f>
        <v>Protocole :
- Appliquer de la lotion à la calamine pour soulager les démangeaisons.
- Distribuer un flacon de benzoate de benzyle topique à 25 %, à appliquer le soir et à renouveler pendant 3 jours après lavage.
- En cas d’infection (rougeur, chaleur, présence de pus), distribuer 40 comprimés de cloxacilline 500 mg, à prendre 2 comprimés par jour toutes les 6 heures pendant 5 jours.</v>
      </c>
      <c r="E461" s="39" t="str">
        <f>IFERROR(__xludf.DUMMYFUNCTION("GOOGLETRANSLATE(C461,""en"",""ht"")"),"Pwotokòl:
- Aplike losyon kalamin pou trete gratèl
- Distribye 1 boutèy 25% Benzyl Benzoate pou aplike lannwit, repete pandan 3 jou apre lave
- Si li parèt enfekte (wouj, cho, pi) distribye 40 grenn Cloxacillin 500mg pou pran 2 fwa pa jou chak 6 èdtan pan"&amp;"dan 5 jou")</f>
        <v>Pwotokòl:
- Aplike losyon kalamin pou trete gratèl
- Distribye 1 boutèy 25% Benzyl Benzoate pou aplike lannwit, repete pandan 3 jou apre lave
- Si li parèt enfekte (wouj, cho, pi) distribye 40 grenn Cloxacillin 500mg pou pran 2 fwa pa jou chak 6 èdtan pandan 5 jou</v>
      </c>
      <c r="F461" s="34"/>
      <c r="G461" s="34"/>
      <c r="H461" s="34"/>
      <c r="I461" s="34"/>
      <c r="J461" s="34"/>
      <c r="K461" s="34"/>
      <c r="L461" s="34"/>
      <c r="M461" s="34"/>
      <c r="N461" s="34"/>
      <c r="O461" s="34"/>
      <c r="P461" s="34"/>
      <c r="Q461" s="34"/>
      <c r="R461" s="34"/>
      <c r="S461" s="34"/>
      <c r="T461" s="34"/>
      <c r="U461" s="34"/>
      <c r="V461" s="34"/>
      <c r="W461" s="34"/>
      <c r="X461" s="34"/>
      <c r="Y461" s="34"/>
      <c r="Z461" s="36"/>
      <c r="AA461" s="36"/>
      <c r="AB461" s="36"/>
      <c r="AC461" s="36"/>
      <c r="AD461" s="36"/>
      <c r="AE461" s="36"/>
      <c r="AF461" s="36"/>
      <c r="AG461" s="36"/>
      <c r="AH461" s="36"/>
    </row>
    <row r="462">
      <c r="A462" s="37" t="s">
        <v>38</v>
      </c>
      <c r="B462" s="40" t="s">
        <v>964</v>
      </c>
      <c r="C462" s="37" t="s">
        <v>965</v>
      </c>
      <c r="D462" s="39" t="str">
        <f>IFERROR(__xludf.DUMMYFUNCTION("GOOGLETRANSLATE(C462,""en"",""fr"")"),"Conseils :
- Conseiller au patient de traiter tous les membres de son foyer qui sont touchés.
- Conseiller les mesures d'hygiène, comme laver le linge de lit et les vêtements à l'eau chaude, les faire sécher au soleil et laver les personnes touchées.")</f>
        <v>Conseils :
- Conseiller au patient de traiter tous les membres de son foyer qui sont touchés.
- Conseiller les mesures d'hygiène, comme laver le linge de lit et les vêtements à l'eau chaude, les faire sécher au soleil et laver les personnes touchées.</v>
      </c>
      <c r="E462" s="39" t="str">
        <f>IFERROR(__xludf.DUMMYFUNCTION("GOOGLETRANSLATE(C462,""en"",""ht"")"),"Konsèy:
- Konseye pasyan an pou l trete tout pasyan nan kay la ki afekte yo
- Konseye mezi ijyèn tankou lave dra ak rad ak dlo tyèd epi seche yo nan solèy la epi lave moun ki afekte yo
")</f>
        <v>Konsèy:
- Konseye pasyan an pou l trete tout pasyan nan kay la ki afekte yo
- Konseye mezi ijyèn tankou lave dra ak rad ak dlo tyèd epi seche yo nan solèy la epi lave moun ki afekte yo
</v>
      </c>
      <c r="F462" s="34"/>
      <c r="G462" s="34"/>
      <c r="H462" s="34"/>
      <c r="I462" s="34"/>
      <c r="J462" s="34"/>
      <c r="K462" s="34"/>
      <c r="L462" s="34"/>
      <c r="M462" s="34"/>
      <c r="N462" s="34"/>
      <c r="O462" s="34"/>
      <c r="P462" s="34"/>
      <c r="Q462" s="34"/>
      <c r="R462" s="34"/>
      <c r="S462" s="34"/>
      <c r="T462" s="34"/>
      <c r="U462" s="34"/>
      <c r="V462" s="34"/>
      <c r="W462" s="34"/>
      <c r="X462" s="34"/>
      <c r="Y462" s="34"/>
      <c r="Z462" s="36"/>
      <c r="AA462" s="36"/>
      <c r="AB462" s="36"/>
      <c r="AC462" s="36"/>
      <c r="AD462" s="36"/>
      <c r="AE462" s="36"/>
      <c r="AF462" s="36"/>
      <c r="AG462" s="36"/>
      <c r="AH462" s="36"/>
    </row>
    <row r="463">
      <c r="A463" s="37" t="s">
        <v>445</v>
      </c>
      <c r="B463" s="40" t="s">
        <v>966</v>
      </c>
      <c r="C463" s="37" t="s">
        <v>967</v>
      </c>
      <c r="D463" s="39" t="str">
        <f>IFERROR(__xludf.DUMMYFUNCTION("GOOGLETRANSLATE(C463,""en"",""fr"")"),"Avez-vous distribué un flacon de lotion à base de benzoate de benzyle à 25 % ?")</f>
        <v>Avez-vous distribué un flacon de lotion à base de benzoate de benzyle à 25 % ?</v>
      </c>
      <c r="E463" s="39" t="str">
        <f>IFERROR(__xludf.DUMMYFUNCTION("GOOGLETRANSLATE(C463,""en"",""ht"")"),"Èske ou te distribye 1 boutèy losyon Benzyl Benzoate 25%?")</f>
        <v>Èske ou te distribye 1 boutèy losyon Benzyl Benzoate 25%?</v>
      </c>
      <c r="F463" s="34"/>
      <c r="G463" s="34"/>
      <c r="H463" s="34"/>
      <c r="I463" s="34"/>
      <c r="J463" s="34"/>
      <c r="K463" s="34"/>
      <c r="L463" s="34"/>
      <c r="M463" s="34"/>
      <c r="N463" s="34"/>
      <c r="O463" s="34"/>
      <c r="P463" s="34"/>
      <c r="Q463" s="34"/>
      <c r="R463" s="34"/>
      <c r="S463" s="34"/>
      <c r="T463" s="34"/>
      <c r="U463" s="34"/>
      <c r="V463" s="34"/>
      <c r="W463" s="34"/>
      <c r="X463" s="34"/>
      <c r="Y463" s="34"/>
      <c r="Z463" s="36"/>
      <c r="AA463" s="36"/>
      <c r="AB463" s="36"/>
      <c r="AC463" s="36"/>
      <c r="AD463" s="36"/>
      <c r="AE463" s="36"/>
      <c r="AF463" s="36"/>
      <c r="AG463" s="36"/>
      <c r="AH463" s="36"/>
    </row>
    <row r="464">
      <c r="A464" s="37" t="s">
        <v>102</v>
      </c>
      <c r="B464" s="40" t="s">
        <v>968</v>
      </c>
      <c r="C464" s="37" t="s">
        <v>54</v>
      </c>
      <c r="D464" s="39" t="str">
        <f>IFERROR(__xludf.DUMMYFUNCTION("GOOGLETRANSLATE(C464,""en"",""fr"")"),"SANS ÉTIQUETTE")</f>
        <v>SANS ÉTIQUETTE</v>
      </c>
      <c r="E464" s="39" t="str">
        <f>IFERROR(__xludf.DUMMYFUNCTION("GOOGLETRANSLATE(C464,""en"",""ht"")"),"PA GEN_ETIKÈT")</f>
        <v>PA GEN_ETIKÈT</v>
      </c>
      <c r="F464" s="34"/>
      <c r="G464" s="34"/>
      <c r="H464" s="34"/>
      <c r="I464" s="34"/>
      <c r="J464" s="34"/>
      <c r="K464" s="34"/>
      <c r="L464" s="34"/>
      <c r="M464" s="34"/>
      <c r="N464" s="34"/>
      <c r="O464" s="34"/>
      <c r="P464" s="34"/>
      <c r="Q464" s="37" t="s">
        <v>969</v>
      </c>
      <c r="R464" s="34"/>
      <c r="S464" s="34"/>
      <c r="T464" s="34"/>
      <c r="U464" s="34"/>
      <c r="V464" s="34"/>
      <c r="W464" s="34"/>
      <c r="X464" s="34"/>
      <c r="Y464" s="34"/>
      <c r="Z464" s="36"/>
      <c r="AA464" s="36"/>
      <c r="AB464" s="36"/>
      <c r="AC464" s="36"/>
      <c r="AD464" s="36"/>
      <c r="AE464" s="36"/>
      <c r="AF464" s="36"/>
      <c r="AG464" s="36"/>
      <c r="AH464" s="36"/>
    </row>
    <row r="465">
      <c r="A465" s="37" t="s">
        <v>445</v>
      </c>
      <c r="B465" s="40" t="s">
        <v>970</v>
      </c>
      <c r="C465" s="37" t="s">
        <v>971</v>
      </c>
      <c r="D465" s="39" t="str">
        <f>IFERROR(__xludf.DUMMYFUNCTION("GOOGLETRANSLATE(C465,""en"",""fr"")"),"Avez-vous appliqué la lotion à la calamine ?")</f>
        <v>Avez-vous appliqué la lotion à la calamine ?</v>
      </c>
      <c r="E465" s="39" t="str">
        <f>IFERROR(__xludf.DUMMYFUNCTION("GOOGLETRANSLATE(C465,""en"",""ht"")"),"Èske ou te aplike losyon kalamin?")</f>
        <v>Èske ou te aplike losyon kalamin?</v>
      </c>
      <c r="F465" s="34"/>
      <c r="G465" s="34"/>
      <c r="H465" s="34"/>
      <c r="I465" s="34"/>
      <c r="J465" s="34"/>
      <c r="K465" s="34"/>
      <c r="L465" s="34"/>
      <c r="M465" s="34"/>
      <c r="N465" s="34"/>
      <c r="O465" s="34"/>
      <c r="P465" s="34"/>
      <c r="Q465" s="34"/>
      <c r="R465" s="34"/>
      <c r="S465" s="34"/>
      <c r="T465" s="34"/>
      <c r="U465" s="34"/>
      <c r="V465" s="34"/>
      <c r="W465" s="34"/>
      <c r="X465" s="34"/>
      <c r="Y465" s="34"/>
      <c r="Z465" s="36"/>
      <c r="AA465" s="36"/>
      <c r="AB465" s="36"/>
      <c r="AC465" s="36"/>
      <c r="AD465" s="36"/>
      <c r="AE465" s="36"/>
      <c r="AF465" s="36"/>
      <c r="AG465" s="36"/>
      <c r="AH465" s="36"/>
    </row>
    <row r="466">
      <c r="A466" s="37" t="s">
        <v>102</v>
      </c>
      <c r="B466" s="40" t="s">
        <v>972</v>
      </c>
      <c r="C466" s="37" t="s">
        <v>54</v>
      </c>
      <c r="D466" s="39" t="str">
        <f>IFERROR(__xludf.DUMMYFUNCTION("GOOGLETRANSLATE(C466,""en"",""fr"")"),"SANS ÉTIQUETTE")</f>
        <v>SANS ÉTIQUETTE</v>
      </c>
      <c r="E466" s="39" t="str">
        <f>IFERROR(__xludf.DUMMYFUNCTION("GOOGLETRANSLATE(C466,""en"",""ht"")"),"PA GEN_ETIKÈT")</f>
        <v>PA GEN_ETIKÈT</v>
      </c>
      <c r="F466" s="34"/>
      <c r="G466" s="34"/>
      <c r="H466" s="34"/>
      <c r="I466" s="34"/>
      <c r="J466" s="34"/>
      <c r="K466" s="34"/>
      <c r="L466" s="34"/>
      <c r="M466" s="34"/>
      <c r="N466" s="34"/>
      <c r="O466" s="34"/>
      <c r="P466" s="34"/>
      <c r="Q466" s="37" t="s">
        <v>973</v>
      </c>
      <c r="R466" s="34"/>
      <c r="S466" s="34"/>
      <c r="T466" s="34"/>
      <c r="U466" s="34"/>
      <c r="V466" s="34"/>
      <c r="W466" s="34"/>
      <c r="X466" s="34"/>
      <c r="Y466" s="34"/>
      <c r="Z466" s="36"/>
      <c r="AA466" s="36"/>
      <c r="AB466" s="36"/>
      <c r="AC466" s="36"/>
      <c r="AD466" s="36"/>
      <c r="AE466" s="36"/>
      <c r="AF466" s="36"/>
      <c r="AG466" s="36"/>
      <c r="AH466" s="36"/>
    </row>
    <row r="467">
      <c r="A467" s="37" t="s">
        <v>639</v>
      </c>
      <c r="B467" s="40" t="s">
        <v>974</v>
      </c>
      <c r="C467" s="37" t="s">
        <v>944</v>
      </c>
      <c r="D467" s="39" t="str">
        <f>IFERROR(__xludf.DUMMYFUNCTION("GOOGLETRANSLATE(C467,""en"",""fr"")"),"Allez-vous distribuer 40 comprimés de Cloxacilline 500 mg ?")</f>
        <v>Allez-vous distribuer 40 comprimés de Cloxacilline 500 mg ?</v>
      </c>
      <c r="E467" s="39" t="str">
        <f>IFERROR(__xludf.DUMMYFUNCTION("GOOGLETRANSLATE(C467,""en"",""ht"")"),"Èske w ap distribye 40 Cloxacillin 500mg?")</f>
        <v>Èske w ap distribye 40 Cloxacillin 500mg?</v>
      </c>
      <c r="F467" s="34"/>
      <c r="G467" s="34"/>
      <c r="H467" s="34"/>
      <c r="I467" s="37" t="s">
        <v>68</v>
      </c>
      <c r="J467" s="34"/>
      <c r="K467" s="34"/>
      <c r="L467" s="34"/>
      <c r="M467" s="34"/>
      <c r="N467" s="34"/>
      <c r="O467" s="34"/>
      <c r="P467" s="34"/>
      <c r="Q467" s="37"/>
      <c r="R467" s="34"/>
      <c r="S467" s="34"/>
      <c r="T467" s="34"/>
      <c r="U467" s="34"/>
      <c r="V467" s="34"/>
      <c r="W467" s="34"/>
      <c r="X467" s="34"/>
      <c r="Y467" s="34"/>
      <c r="Z467" s="36"/>
      <c r="AA467" s="36"/>
      <c r="AB467" s="36"/>
      <c r="AC467" s="36"/>
      <c r="AD467" s="36"/>
      <c r="AE467" s="36"/>
      <c r="AF467" s="36"/>
      <c r="AG467" s="36"/>
      <c r="AH467" s="36"/>
    </row>
    <row r="468">
      <c r="A468" s="37" t="s">
        <v>445</v>
      </c>
      <c r="B468" s="40" t="s">
        <v>975</v>
      </c>
      <c r="C468" s="37" t="s">
        <v>946</v>
      </c>
      <c r="D468" s="46" t="s">
        <v>947</v>
      </c>
      <c r="E468" s="46" t="s">
        <v>948</v>
      </c>
      <c r="F468" s="34"/>
      <c r="G468" s="34"/>
      <c r="H468" s="34"/>
      <c r="I468" s="37"/>
      <c r="J468" s="37" t="s">
        <v>976</v>
      </c>
      <c r="K468" s="34"/>
      <c r="L468" s="34"/>
      <c r="M468" s="34"/>
      <c r="N468" s="34"/>
      <c r="O468" s="34"/>
      <c r="P468" s="34"/>
      <c r="Q468" s="37"/>
      <c r="R468" s="34"/>
      <c r="S468" s="34"/>
      <c r="T468" s="34"/>
      <c r="U468" s="34"/>
      <c r="V468" s="34"/>
      <c r="W468" s="34"/>
      <c r="X468" s="34"/>
      <c r="Y468" s="34"/>
      <c r="Z468" s="36"/>
      <c r="AA468" s="36"/>
      <c r="AB468" s="36"/>
      <c r="AC468" s="36"/>
      <c r="AD468" s="36"/>
      <c r="AE468" s="36"/>
      <c r="AF468" s="36"/>
      <c r="AG468" s="36"/>
      <c r="AH468" s="36"/>
    </row>
    <row r="469">
      <c r="A469" s="37" t="s">
        <v>102</v>
      </c>
      <c r="B469" s="40" t="s">
        <v>977</v>
      </c>
      <c r="C469" s="37" t="s">
        <v>54</v>
      </c>
      <c r="D469" s="39" t="str">
        <f>IFERROR(__xludf.DUMMYFUNCTION("GOOGLETRANSLATE(C469,""en"",""fr"")"),"SANS ÉTIQUETTE")</f>
        <v>SANS ÉTIQUETTE</v>
      </c>
      <c r="E469" s="39" t="str">
        <f>IFERROR(__xludf.DUMMYFUNCTION("GOOGLETRANSLATE(C469,""en"",""ht"")"),"PA GEN_ETIKÈT")</f>
        <v>PA GEN_ETIKÈT</v>
      </c>
      <c r="F469" s="34"/>
      <c r="G469" s="34"/>
      <c r="H469" s="34"/>
      <c r="I469" s="34"/>
      <c r="J469" s="34"/>
      <c r="K469" s="34"/>
      <c r="L469" s="34"/>
      <c r="M469" s="34"/>
      <c r="N469" s="34"/>
      <c r="O469" s="34"/>
      <c r="P469" s="34"/>
      <c r="Q469" s="37" t="s">
        <v>978</v>
      </c>
      <c r="R469" s="34"/>
      <c r="S469" s="34"/>
      <c r="T469" s="34"/>
      <c r="U469" s="34"/>
      <c r="V469" s="34"/>
      <c r="W469" s="34"/>
      <c r="X469" s="34"/>
      <c r="Y469" s="34"/>
      <c r="Z469" s="36"/>
      <c r="AA469" s="36"/>
      <c r="AB469" s="36"/>
      <c r="AC469" s="36"/>
      <c r="AD469" s="36"/>
      <c r="AE469" s="36"/>
      <c r="AF469" s="36"/>
      <c r="AG469" s="36"/>
      <c r="AH469" s="36"/>
    </row>
    <row r="470">
      <c r="A470" s="37" t="s">
        <v>451</v>
      </c>
      <c r="B470" s="40" t="s">
        <v>979</v>
      </c>
      <c r="C470" s="37" t="s">
        <v>453</v>
      </c>
      <c r="D470" s="39" t="str">
        <f>IFERROR(__xludf.DUMMYFUNCTION("GOOGLETRANSLATE(C470,""en"",""fr"")"),"Vous avez laissé au moins une confirmation de médicament vide. Si cela est intentionnel, veuillez indiquer pourquoi ci-dessous.")</f>
        <v>Vous avez laissé au moins une confirmation de médicament vide. Si cela est intentionnel, veuillez indiquer pourquoi ci-dessous.</v>
      </c>
      <c r="E470" s="39" t="str">
        <f>IFERROR(__xludf.DUMMYFUNCTION("GOOGLETRANSLATE(C470,""en"",""ht"")"),"Ou kite omwen yon konfimasyon medikaman vid. Si se espre, ekri poukisa anba a.")</f>
        <v>Ou kite omwen yon konfimasyon medikaman vid. Si se espre, ekri poukisa anba a.</v>
      </c>
      <c r="F470" s="37" t="s">
        <v>454</v>
      </c>
      <c r="G470" s="39" t="str">
        <f>IFERROR(__xludf.DUMMYFUNCTION("GOOGLETRANSLATE(F470,""en"",""fr"")"),"Si vous avez distribué une quantité différente de médicaments, notez combien.")</f>
        <v>Si vous avez distribué une quantité différente de médicaments, notez combien.</v>
      </c>
      <c r="H470" s="39" t="str">
        <f>IFERROR(__xludf.DUMMYFUNCTION("GOOGLETRANSLATE(F470,""en"",""ht"")"),"Si ou te distribye yon kantite dwòg diferan, anrejistre konbyen.")</f>
        <v>Si ou te distribye yon kantite dwòg diferan, anrejistre konbyen.</v>
      </c>
      <c r="I470" s="37" t="s">
        <v>68</v>
      </c>
      <c r="J470" s="37" t="s">
        <v>980</v>
      </c>
      <c r="K470" s="34"/>
      <c r="L470" s="34"/>
      <c r="M470" s="34"/>
      <c r="N470" s="34"/>
      <c r="O470" s="34"/>
      <c r="P470" s="34"/>
      <c r="Q470" s="34"/>
      <c r="R470" s="34"/>
      <c r="S470" s="34"/>
      <c r="T470" s="34"/>
      <c r="U470" s="34"/>
      <c r="V470" s="34"/>
      <c r="W470" s="34"/>
      <c r="X470" s="34"/>
      <c r="Y470" s="34"/>
      <c r="Z470" s="36"/>
      <c r="AA470" s="36"/>
      <c r="AB470" s="36"/>
      <c r="AC470" s="36"/>
      <c r="AD470" s="36"/>
      <c r="AE470" s="36"/>
      <c r="AF470" s="36"/>
      <c r="AG470" s="36"/>
      <c r="AH470" s="36"/>
    </row>
    <row r="471">
      <c r="A471" s="37" t="s">
        <v>451</v>
      </c>
      <c r="B471" s="40" t="s">
        <v>981</v>
      </c>
      <c r="C471" s="37" t="s">
        <v>457</v>
      </c>
      <c r="D471" s="39" t="str">
        <f>IFERROR(__xludf.DUMMYFUNCTION("GOOGLETRANSLATE(C471,""en"",""fr"")"),"Notes cliniques :")</f>
        <v>Notes cliniques :</v>
      </c>
      <c r="E471" s="39" t="str">
        <f>IFERROR(__xludf.DUMMYFUNCTION("GOOGLETRANSLATE(C471,""en"",""ht"")"),"Nòt klinik:")</f>
        <v>Nòt klinik:</v>
      </c>
      <c r="F471" s="34"/>
      <c r="G471" s="34"/>
      <c r="H471" s="34"/>
      <c r="I471" s="34"/>
      <c r="J471" s="34"/>
      <c r="K471" s="34"/>
      <c r="L471" s="34"/>
      <c r="M471" s="34"/>
      <c r="N471" s="34"/>
      <c r="O471" s="34"/>
      <c r="P471" s="34"/>
      <c r="Q471" s="34"/>
      <c r="R471" s="34"/>
      <c r="S471" s="34"/>
      <c r="T471" s="34"/>
      <c r="U471" s="34"/>
      <c r="V471" s="34"/>
      <c r="W471" s="34"/>
      <c r="X471" s="34"/>
      <c r="Y471" s="34"/>
      <c r="Z471" s="36"/>
      <c r="AA471" s="36"/>
      <c r="AB471" s="36"/>
      <c r="AC471" s="36"/>
      <c r="AD471" s="36"/>
      <c r="AE471" s="36"/>
      <c r="AF471" s="36"/>
      <c r="AG471" s="36"/>
      <c r="AH471" s="36"/>
    </row>
    <row r="472">
      <c r="A472" s="37" t="s">
        <v>82</v>
      </c>
      <c r="B472" s="40" t="s">
        <v>959</v>
      </c>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6"/>
      <c r="AA472" s="36"/>
      <c r="AB472" s="36"/>
      <c r="AC472" s="36"/>
      <c r="AD472" s="36"/>
      <c r="AE472" s="36"/>
      <c r="AF472" s="36"/>
      <c r="AG472" s="36"/>
      <c r="AH472" s="36"/>
    </row>
    <row r="473">
      <c r="A473" s="37" t="s">
        <v>49</v>
      </c>
      <c r="B473" s="40" t="s">
        <v>982</v>
      </c>
      <c r="C473" s="37" t="s">
        <v>359</v>
      </c>
      <c r="D473" s="39" t="str">
        <f>IFERROR(__xludf.DUMMYFUNCTION("GOOGLETRANSLATE(C473,""en"",""fr"")"),"Teigne (Tinea)")</f>
        <v>Teigne (Tinea)</v>
      </c>
      <c r="E473" s="39" t="str">
        <f>IFERROR(__xludf.DUMMYFUNCTION("GOOGLETRANSLATE(C473,""en"",""ht"")"),"Vè angren (Tinea)")</f>
        <v>Vè angren (Tinea)</v>
      </c>
      <c r="F473" s="34"/>
      <c r="G473" s="34"/>
      <c r="H473" s="34"/>
      <c r="I473" s="34"/>
      <c r="J473" s="37" t="s">
        <v>360</v>
      </c>
      <c r="K473" s="37" t="s">
        <v>58</v>
      </c>
      <c r="L473" s="34"/>
      <c r="M473" s="34"/>
      <c r="N473" s="34"/>
      <c r="O473" s="34"/>
      <c r="P473" s="34"/>
      <c r="Q473" s="34"/>
      <c r="R473" s="34"/>
      <c r="S473" s="34"/>
      <c r="T473" s="34"/>
      <c r="U473" s="34"/>
      <c r="V473" s="34"/>
      <c r="W473" s="34"/>
      <c r="X473" s="34"/>
      <c r="Y473" s="34"/>
      <c r="Z473" s="36"/>
      <c r="AA473" s="36"/>
      <c r="AB473" s="36"/>
      <c r="AC473" s="36"/>
      <c r="AD473" s="36"/>
      <c r="AE473" s="36"/>
      <c r="AF473" s="36"/>
      <c r="AG473" s="36"/>
      <c r="AH473" s="36"/>
    </row>
    <row r="474">
      <c r="A474" s="37" t="s">
        <v>38</v>
      </c>
      <c r="B474" s="40" t="s">
        <v>983</v>
      </c>
      <c r="C474" s="37" t="s">
        <v>984</v>
      </c>
      <c r="D474" s="39" t="str">
        <f>IFERROR(__xludf.DUMMYFUNCTION("GOOGLETRANSLATE(C474,""en"",""fr"")"),"Le patient souffre de teigne (tinea).")</f>
        <v>Le patient souffre de teigne (tinea).</v>
      </c>
      <c r="E474" s="39" t="str">
        <f>IFERROR(__xludf.DUMMYFUNCTION("GOOGLETRANSLATE(C474,""en"",""ht"")"),"Pasyan an gen vè an tiy (Tinea)")</f>
        <v>Pasyan an gen vè an tiy (Tinea)</v>
      </c>
      <c r="F474" s="34"/>
      <c r="G474" s="34"/>
      <c r="H474" s="34"/>
      <c r="I474" s="34"/>
      <c r="K474" s="37" t="s">
        <v>182</v>
      </c>
      <c r="L474" s="34"/>
      <c r="M474" s="34"/>
      <c r="N474" s="34"/>
      <c r="O474" s="34"/>
      <c r="P474" s="34"/>
      <c r="Q474" s="34"/>
      <c r="R474" s="34"/>
      <c r="S474" s="34"/>
      <c r="T474" s="34"/>
      <c r="U474" s="34"/>
      <c r="V474" s="34"/>
      <c r="W474" s="34"/>
      <c r="X474" s="34"/>
      <c r="Y474" s="34"/>
      <c r="Z474" s="36"/>
      <c r="AA474" s="36"/>
      <c r="AB474" s="36"/>
      <c r="AC474" s="36"/>
      <c r="AD474" s="36"/>
      <c r="AE474" s="36"/>
      <c r="AF474" s="36"/>
      <c r="AG474" s="36"/>
      <c r="AH474" s="36"/>
    </row>
    <row r="475">
      <c r="A475" s="37" t="s">
        <v>38</v>
      </c>
      <c r="B475" s="40" t="s">
        <v>985</v>
      </c>
      <c r="C475" s="37" t="s">
        <v>986</v>
      </c>
      <c r="D475" s="39" t="str">
        <f>IFERROR(__xludf.DUMMYFUNCTION("GOOGLETRANSLATE(C475,""en"",""fr"")"),"Protocole :
- Distribuer 1 flacon de crème de kétoconazole.
- En cas d’atteinte étendue, administrer 84 comprimés de griséofulvine à 125 mg, à prendre avec un repas gras, 2 comprimés une fois par jour pendant 6 semaines.
- En cas d’atteinte des cheveux"&amp;", raser les cheveux.
- Si l’infection semble se manifester (rougeur, chaleur, présence de pus), distribuer 40 comprimés de cloxacilline à 500 mg, à prendre 2 comprimés toutes les 6 heures pendant 5 jours.")</f>
        <v>Protocole :
- Distribuer 1 flacon de crème de kétoconazole.
- En cas d’atteinte étendue, administrer 84 comprimés de griséofulvine à 125 mg, à prendre avec un repas gras, 2 comprimés une fois par jour pendant 6 semaines.
- En cas d’atteinte des cheveux, raser les cheveux.
- Si l’infection semble se manifester (rougeur, chaleur, présence de pus), distribuer 40 comprimés de cloxacilline à 500 mg, à prendre 2 comprimés toutes les 6 heures pendant 5 jours.</v>
      </c>
      <c r="E475" s="39" t="str">
        <f>IFERROR(__xludf.DUMMYFUNCTION("GOOGLETRANSLATE(C475,""en"",""ht"")"),"Pwotokòl:
- Distribye 1 boutèy krèm Ketoconazole
- Si li anvayi anpil, bay 84 grenn griseofulvin 125mg pou pran ak yon repa ki gen anpil grès, 2 grenn yon fwa pa jou chak jou pandan 6 semèn
- Si li nan cheve, raze cheve a
- Si li sanble enfekte (wouj, cho"&amp;", pi) distribye 40 grenn Cloxacillin 500mg pou pran 2 grenn fwa pa jou chak 6 èdtan pandan 5 jou")</f>
        <v>Pwotokòl:
- Distribye 1 boutèy krèm Ketoconazole
- Si li anvayi anpil, bay 84 grenn griseofulvin 125mg pou pran ak yon repa ki gen anpil grès, 2 grenn yon fwa pa jou chak jou pandan 6 semèn
- Si li nan cheve, raze cheve a
- Si li sanble enfekte (wouj, cho, pi) distribye 40 grenn Cloxacillin 500mg pou pran 2 grenn fwa pa jou chak 6 èdtan pandan 5 jou</v>
      </c>
      <c r="F475" s="34"/>
      <c r="G475" s="34"/>
      <c r="H475" s="34"/>
      <c r="I475" s="34"/>
      <c r="J475" s="34"/>
      <c r="K475" s="34"/>
      <c r="L475" s="34"/>
      <c r="M475" s="34"/>
      <c r="N475" s="34"/>
      <c r="O475" s="34"/>
      <c r="P475" s="34"/>
      <c r="Q475" s="34"/>
      <c r="R475" s="34"/>
      <c r="S475" s="34"/>
      <c r="T475" s="34"/>
      <c r="U475" s="34"/>
      <c r="V475" s="34"/>
      <c r="W475" s="34"/>
      <c r="X475" s="34"/>
      <c r="Y475" s="34"/>
      <c r="Z475" s="36"/>
      <c r="AA475" s="36"/>
      <c r="AB475" s="36"/>
      <c r="AC475" s="36"/>
      <c r="AD475" s="36"/>
      <c r="AE475" s="36"/>
      <c r="AF475" s="36"/>
      <c r="AG475" s="36"/>
      <c r="AH475" s="36"/>
    </row>
    <row r="476">
      <c r="A476" s="37" t="s">
        <v>38</v>
      </c>
      <c r="B476" s="40" t="s">
        <v>987</v>
      </c>
      <c r="C476" s="37" t="s">
        <v>444</v>
      </c>
      <c r="D476" s="39" t="str">
        <f>IFERROR(__xludf.DUMMYFUNCTION("GOOGLETRANSLATE(C476,""en"",""fr"")"),"Accompagnement psychologique :
- (À FAIRE : l’accompagnement psychologique n’est pas prévu dans les protocoles de soins ; ajouté à titre indicatif pour les commentaires des infirmières)")</f>
        <v>Accompagnement psychologique :
- (À FAIRE : l’accompagnement psychologique n’est pas prévu dans les protocoles de soins ; ajouté à titre indicatif pour les commentaires des infirmières)</v>
      </c>
      <c r="E476" s="39" t="str">
        <f>IFERROR(__xludf.DUMMYFUNCTION("GOOGLETRANSLATE(C476,""en"",""ht"")"),"Konsèy:
- (Konsèy TODO pa bay nan pwotokòl swen yo - ajoute kòm espas vid pou fidbak enfimyè yo)")</f>
        <v>Konsèy:
- (Konsèy TODO pa bay nan pwotokòl swen yo - ajoute kòm espas vid pou fidbak enfimyè yo)</v>
      </c>
      <c r="F476" s="34"/>
      <c r="G476" s="34"/>
      <c r="H476" s="34"/>
      <c r="I476" s="34"/>
      <c r="J476" s="34"/>
      <c r="K476" s="34"/>
      <c r="L476" s="34"/>
      <c r="M476" s="34"/>
      <c r="N476" s="34"/>
      <c r="O476" s="34"/>
      <c r="P476" s="34"/>
      <c r="Q476" s="34"/>
      <c r="R476" s="34"/>
      <c r="S476" s="34"/>
      <c r="T476" s="34"/>
      <c r="U476" s="34"/>
      <c r="V476" s="34"/>
      <c r="W476" s="34"/>
      <c r="X476" s="34"/>
      <c r="Y476" s="34"/>
      <c r="Z476" s="36"/>
      <c r="AA476" s="36"/>
      <c r="AB476" s="36"/>
      <c r="AC476" s="36"/>
      <c r="AD476" s="36"/>
      <c r="AE476" s="36"/>
      <c r="AF476" s="36"/>
      <c r="AG476" s="36"/>
      <c r="AH476" s="36"/>
    </row>
    <row r="477">
      <c r="A477" s="37" t="s">
        <v>445</v>
      </c>
      <c r="B477" s="40" t="s">
        <v>988</v>
      </c>
      <c r="C477" s="37" t="s">
        <v>989</v>
      </c>
      <c r="D477" s="39" t="str">
        <f>IFERROR(__xludf.DUMMYFUNCTION("GOOGLETRANSLATE(C477,""en"",""fr"")"),"Avez-vous distribué un flacon de crème antifongique au kétoconazole ?")</f>
        <v>Avez-vous distribué un flacon de crème antifongique au kétoconazole ?</v>
      </c>
      <c r="E477" s="39" t="str">
        <f>IFERROR(__xludf.DUMMYFUNCTION("GOOGLETRANSLATE(C477,""en"",""ht"")"),"Èske ou te distribye 1 boutèy krèm antifonjik Ketoconazole?")</f>
        <v>Èske ou te distribye 1 boutèy krèm antifonjik Ketoconazole?</v>
      </c>
      <c r="F477" s="34"/>
      <c r="G477" s="34"/>
      <c r="H477" s="34"/>
      <c r="I477" s="34"/>
      <c r="J477" s="34"/>
      <c r="K477" s="34"/>
      <c r="L477" s="34"/>
      <c r="M477" s="34"/>
      <c r="N477" s="34"/>
      <c r="O477" s="34"/>
      <c r="P477" s="34"/>
      <c r="Q477" s="34"/>
      <c r="R477" s="34"/>
      <c r="S477" s="34"/>
      <c r="T477" s="34"/>
      <c r="U477" s="34"/>
      <c r="V477" s="34"/>
      <c r="W477" s="34"/>
      <c r="X477" s="34"/>
      <c r="Y477" s="34"/>
      <c r="Z477" s="36"/>
      <c r="AA477" s="36"/>
      <c r="AB477" s="36"/>
      <c r="AC477" s="36"/>
      <c r="AD477" s="36"/>
      <c r="AE477" s="36"/>
      <c r="AF477" s="36"/>
      <c r="AG477" s="36"/>
      <c r="AH477" s="36"/>
    </row>
    <row r="478">
      <c r="A478" s="37" t="s">
        <v>102</v>
      </c>
      <c r="B478" s="40" t="s">
        <v>990</v>
      </c>
      <c r="C478" s="37" t="s">
        <v>54</v>
      </c>
      <c r="D478" s="39" t="str">
        <f>IFERROR(__xludf.DUMMYFUNCTION("GOOGLETRANSLATE(C478,""en"",""fr"")"),"SANS ÉTIQUETTE")</f>
        <v>SANS ÉTIQUETTE</v>
      </c>
      <c r="E478" s="39" t="str">
        <f>IFERROR(__xludf.DUMMYFUNCTION("GOOGLETRANSLATE(C478,""en"",""ht"")"),"PA GEN_ETIKÈT")</f>
        <v>PA GEN_ETIKÈT</v>
      </c>
      <c r="F478" s="34"/>
      <c r="G478" s="34"/>
      <c r="H478" s="34"/>
      <c r="I478" s="34"/>
      <c r="J478" s="34"/>
      <c r="K478" s="34"/>
      <c r="L478" s="34"/>
      <c r="M478" s="34"/>
      <c r="N478" s="34"/>
      <c r="O478" s="34"/>
      <c r="P478" s="34"/>
      <c r="Q478" s="37" t="s">
        <v>991</v>
      </c>
      <c r="R478" s="34"/>
      <c r="S478" s="34"/>
      <c r="T478" s="34"/>
      <c r="U478" s="34"/>
      <c r="V478" s="34"/>
      <c r="W478" s="34"/>
      <c r="X478" s="34"/>
      <c r="Y478" s="34"/>
      <c r="Z478" s="36"/>
      <c r="AA478" s="36"/>
      <c r="AB478" s="36"/>
      <c r="AC478" s="36"/>
      <c r="AD478" s="36"/>
      <c r="AE478" s="36"/>
      <c r="AF478" s="36"/>
      <c r="AG478" s="36"/>
      <c r="AH478" s="36"/>
    </row>
    <row r="479">
      <c r="A479" s="37" t="s">
        <v>639</v>
      </c>
      <c r="B479" s="40" t="s">
        <v>992</v>
      </c>
      <c r="C479" s="37" t="s">
        <v>993</v>
      </c>
      <c r="D479" s="39" t="str">
        <f>IFERROR(__xludf.DUMMYFUNCTION("GOOGLETRANSLATE(C479,""en"",""fr"")"),"Allez-vous distribuer 84 comprimés de griséofulvine 125 mg ?")</f>
        <v>Allez-vous distribuer 84 comprimés de griséofulvine 125 mg ?</v>
      </c>
      <c r="E479" s="39" t="str">
        <f>IFERROR(__xludf.DUMMYFUNCTION("GOOGLETRANSLATE(C479,""en"",""ht"")"),"Èske w ap distribye 84 grenn Griseofulvin 125mg?")</f>
        <v>Èske w ap distribye 84 grenn Griseofulvin 125mg?</v>
      </c>
      <c r="F479" s="34"/>
      <c r="G479" s="34"/>
      <c r="H479" s="34"/>
      <c r="I479" s="37" t="s">
        <v>68</v>
      </c>
      <c r="J479" s="34"/>
      <c r="K479" s="34"/>
      <c r="L479" s="34"/>
      <c r="M479" s="34"/>
      <c r="N479" s="34"/>
      <c r="O479" s="34"/>
      <c r="P479" s="34"/>
      <c r="Q479" s="37"/>
      <c r="R479" s="34"/>
      <c r="S479" s="34"/>
      <c r="T479" s="34"/>
      <c r="U479" s="34"/>
      <c r="V479" s="34"/>
      <c r="W479" s="34"/>
      <c r="X479" s="34"/>
      <c r="Y479" s="34"/>
      <c r="Z479" s="36"/>
      <c r="AA479" s="36"/>
      <c r="AB479" s="36"/>
      <c r="AC479" s="36"/>
      <c r="AD479" s="36"/>
      <c r="AE479" s="36"/>
      <c r="AF479" s="36"/>
      <c r="AG479" s="36"/>
      <c r="AH479" s="36"/>
    </row>
    <row r="480">
      <c r="A480" s="37" t="s">
        <v>445</v>
      </c>
      <c r="B480" s="40" t="s">
        <v>994</v>
      </c>
      <c r="C480" s="37" t="s">
        <v>995</v>
      </c>
      <c r="D480" s="46" t="s">
        <v>996</v>
      </c>
      <c r="E480" s="46" t="s">
        <v>997</v>
      </c>
      <c r="F480" s="34"/>
      <c r="G480" s="34"/>
      <c r="H480" s="34"/>
      <c r="I480" s="34"/>
      <c r="J480" s="37" t="s">
        <v>998</v>
      </c>
      <c r="K480" s="34"/>
      <c r="L480" s="34"/>
      <c r="M480" s="34"/>
      <c r="N480" s="34"/>
      <c r="O480" s="34"/>
      <c r="P480" s="34"/>
      <c r="Q480" s="37"/>
      <c r="R480" s="34"/>
      <c r="S480" s="34"/>
      <c r="T480" s="34"/>
      <c r="U480" s="34"/>
      <c r="V480" s="34"/>
      <c r="W480" s="34"/>
      <c r="X480" s="34"/>
      <c r="Y480" s="34"/>
      <c r="Z480" s="36"/>
      <c r="AA480" s="36"/>
      <c r="AB480" s="36"/>
      <c r="AC480" s="36"/>
      <c r="AD480" s="36"/>
      <c r="AE480" s="36"/>
      <c r="AF480" s="36"/>
      <c r="AG480" s="36"/>
      <c r="AH480" s="36"/>
    </row>
    <row r="481">
      <c r="A481" s="37" t="s">
        <v>102</v>
      </c>
      <c r="B481" s="40" t="s">
        <v>999</v>
      </c>
      <c r="C481" s="37" t="s">
        <v>54</v>
      </c>
      <c r="D481" s="39" t="str">
        <f>IFERROR(__xludf.DUMMYFUNCTION("GOOGLETRANSLATE(C481,""en"",""fr"")"),"SANS ÉTIQUETTE")</f>
        <v>SANS ÉTIQUETTE</v>
      </c>
      <c r="E481" s="39" t="str">
        <f>IFERROR(__xludf.DUMMYFUNCTION("GOOGLETRANSLATE(C481,""en"",""ht"")"),"PA GEN_ETIKÈT")</f>
        <v>PA GEN_ETIKÈT</v>
      </c>
      <c r="F481" s="34"/>
      <c r="G481" s="34"/>
      <c r="H481" s="34"/>
      <c r="I481" s="34"/>
      <c r="J481" s="34"/>
      <c r="K481" s="34"/>
      <c r="L481" s="34"/>
      <c r="M481" s="34"/>
      <c r="N481" s="34"/>
      <c r="O481" s="34"/>
      <c r="P481" s="34"/>
      <c r="Q481" s="37" t="s">
        <v>1000</v>
      </c>
      <c r="R481" s="34"/>
      <c r="S481" s="34"/>
      <c r="T481" s="34"/>
      <c r="U481" s="34"/>
      <c r="V481" s="34"/>
      <c r="W481" s="34"/>
      <c r="X481" s="34"/>
      <c r="Y481" s="34"/>
      <c r="Z481" s="36"/>
      <c r="AA481" s="36"/>
      <c r="AB481" s="36"/>
      <c r="AC481" s="36"/>
      <c r="AD481" s="36"/>
      <c r="AE481" s="36"/>
      <c r="AF481" s="36"/>
      <c r="AG481" s="36"/>
      <c r="AH481" s="36"/>
    </row>
    <row r="482">
      <c r="A482" s="37" t="s">
        <v>639</v>
      </c>
      <c r="B482" s="40" t="s">
        <v>1001</v>
      </c>
      <c r="C482" s="37" t="s">
        <v>944</v>
      </c>
      <c r="D482" s="39" t="str">
        <f>IFERROR(__xludf.DUMMYFUNCTION("GOOGLETRANSLATE(C482,""en"",""fr"")"),"Allez-vous distribuer 40 comprimés de Cloxacilline 500 mg ?")</f>
        <v>Allez-vous distribuer 40 comprimés de Cloxacilline 500 mg ?</v>
      </c>
      <c r="E482" s="39" t="str">
        <f>IFERROR(__xludf.DUMMYFUNCTION("GOOGLETRANSLATE(C482,""en"",""ht"")"),"Èske w ap distribye 40 Cloxacillin 500mg?")</f>
        <v>Èske w ap distribye 40 Cloxacillin 500mg?</v>
      </c>
      <c r="F482" s="34"/>
      <c r="G482" s="34"/>
      <c r="H482" s="34"/>
      <c r="I482" s="37" t="s">
        <v>68</v>
      </c>
      <c r="J482" s="34"/>
      <c r="K482" s="34"/>
      <c r="L482" s="34"/>
      <c r="M482" s="34"/>
      <c r="N482" s="34"/>
      <c r="O482" s="34"/>
      <c r="P482" s="34"/>
      <c r="Q482" s="37"/>
      <c r="R482" s="34"/>
      <c r="S482" s="34"/>
      <c r="T482" s="34"/>
      <c r="U482" s="34"/>
      <c r="V482" s="34"/>
      <c r="W482" s="34"/>
      <c r="X482" s="34"/>
      <c r="Y482" s="34"/>
      <c r="Z482" s="36"/>
      <c r="AA482" s="36"/>
      <c r="AB482" s="36"/>
      <c r="AC482" s="36"/>
      <c r="AD482" s="36"/>
      <c r="AE482" s="36"/>
      <c r="AF482" s="36"/>
      <c r="AG482" s="36"/>
      <c r="AH482" s="36"/>
    </row>
    <row r="483">
      <c r="A483" s="37" t="s">
        <v>445</v>
      </c>
      <c r="B483" s="40" t="s">
        <v>1002</v>
      </c>
      <c r="C483" s="37" t="s">
        <v>946</v>
      </c>
      <c r="D483" s="46" t="s">
        <v>947</v>
      </c>
      <c r="E483" s="46" t="s">
        <v>948</v>
      </c>
      <c r="F483" s="34"/>
      <c r="G483" s="34"/>
      <c r="H483" s="34"/>
      <c r="I483" s="37"/>
      <c r="J483" s="37" t="s">
        <v>1003</v>
      </c>
      <c r="K483" s="34"/>
      <c r="L483" s="34"/>
      <c r="M483" s="34"/>
      <c r="N483" s="34"/>
      <c r="O483" s="34"/>
      <c r="P483" s="34"/>
      <c r="Q483" s="37"/>
      <c r="R483" s="34"/>
      <c r="S483" s="34"/>
      <c r="T483" s="34"/>
      <c r="U483" s="34"/>
      <c r="V483" s="34"/>
      <c r="W483" s="34"/>
      <c r="X483" s="34"/>
      <c r="Y483" s="34"/>
      <c r="Z483" s="36"/>
      <c r="AA483" s="36"/>
      <c r="AB483" s="36"/>
      <c r="AC483" s="36"/>
      <c r="AD483" s="36"/>
      <c r="AE483" s="36"/>
      <c r="AF483" s="36"/>
      <c r="AG483" s="36"/>
      <c r="AH483" s="36"/>
    </row>
    <row r="484">
      <c r="A484" s="37" t="s">
        <v>102</v>
      </c>
      <c r="B484" s="40" t="s">
        <v>1004</v>
      </c>
      <c r="C484" s="37" t="s">
        <v>54</v>
      </c>
      <c r="D484" s="39" t="str">
        <f>IFERROR(__xludf.DUMMYFUNCTION("GOOGLETRANSLATE(C484,""en"",""fr"")"),"SANS ÉTIQUETTE")</f>
        <v>SANS ÉTIQUETTE</v>
      </c>
      <c r="E484" s="39" t="str">
        <f>IFERROR(__xludf.DUMMYFUNCTION("GOOGLETRANSLATE(C484,""en"",""ht"")"),"PA GEN_ETIKÈT")</f>
        <v>PA GEN_ETIKÈT</v>
      </c>
      <c r="F484" s="34"/>
      <c r="G484" s="34"/>
      <c r="H484" s="34"/>
      <c r="I484" s="37"/>
      <c r="J484" s="34"/>
      <c r="K484" s="34"/>
      <c r="L484" s="34"/>
      <c r="M484" s="34"/>
      <c r="N484" s="34"/>
      <c r="O484" s="34"/>
      <c r="P484" s="34"/>
      <c r="Q484" s="37" t="s">
        <v>1005</v>
      </c>
      <c r="R484" s="34"/>
      <c r="S484" s="34"/>
      <c r="T484" s="34"/>
      <c r="U484" s="34"/>
      <c r="V484" s="34"/>
      <c r="W484" s="34"/>
      <c r="X484" s="34"/>
      <c r="Y484" s="34"/>
      <c r="Z484" s="36"/>
      <c r="AA484" s="36"/>
      <c r="AB484" s="36"/>
      <c r="AC484" s="36"/>
      <c r="AD484" s="36"/>
      <c r="AE484" s="36"/>
      <c r="AF484" s="36"/>
      <c r="AG484" s="36"/>
      <c r="AH484" s="36"/>
    </row>
    <row r="485">
      <c r="A485" s="37" t="s">
        <v>451</v>
      </c>
      <c r="B485" s="40" t="s">
        <v>1006</v>
      </c>
      <c r="C485" s="37" t="s">
        <v>453</v>
      </c>
      <c r="D485" s="39" t="str">
        <f>IFERROR(__xludf.DUMMYFUNCTION("GOOGLETRANSLATE(C485,""en"",""fr"")"),"Vous avez laissé au moins une confirmation de médicament vide. Si cela est intentionnel, veuillez indiquer pourquoi ci-dessous.")</f>
        <v>Vous avez laissé au moins une confirmation de médicament vide. Si cela est intentionnel, veuillez indiquer pourquoi ci-dessous.</v>
      </c>
      <c r="E485" s="39" t="str">
        <f>IFERROR(__xludf.DUMMYFUNCTION("GOOGLETRANSLATE(C485,""en"",""ht"")"),"Ou kite omwen yon konfimasyon medikaman vid. Si se espre, ekri poukisa anba a.")</f>
        <v>Ou kite omwen yon konfimasyon medikaman vid. Si se espre, ekri poukisa anba a.</v>
      </c>
      <c r="F485" s="37" t="s">
        <v>454</v>
      </c>
      <c r="G485" s="39" t="str">
        <f>IFERROR(__xludf.DUMMYFUNCTION("GOOGLETRANSLATE(F485,""en"",""fr"")"),"Si vous avez distribué une quantité différente de médicaments, notez combien.")</f>
        <v>Si vous avez distribué une quantité différente de médicaments, notez combien.</v>
      </c>
      <c r="H485" s="39" t="str">
        <f>IFERROR(__xludf.DUMMYFUNCTION("GOOGLETRANSLATE(F485,""en"",""ht"")"),"Si ou te distribye yon kantite dwòg diferan, anrejistre konbyen.")</f>
        <v>Si ou te distribye yon kantite dwòg diferan, anrejistre konbyen.</v>
      </c>
      <c r="I485" s="37" t="s">
        <v>68</v>
      </c>
      <c r="J485" s="37" t="s">
        <v>1007</v>
      </c>
      <c r="K485" s="34"/>
      <c r="L485" s="34"/>
      <c r="M485" s="34"/>
      <c r="N485" s="34"/>
      <c r="O485" s="34"/>
      <c r="P485" s="34"/>
      <c r="Q485" s="34"/>
      <c r="R485" s="34"/>
      <c r="S485" s="34"/>
      <c r="T485" s="34"/>
      <c r="U485" s="34"/>
      <c r="V485" s="34"/>
      <c r="W485" s="34"/>
      <c r="X485" s="34"/>
      <c r="Y485" s="34"/>
      <c r="Z485" s="36"/>
      <c r="AA485" s="36"/>
      <c r="AB485" s="36"/>
      <c r="AC485" s="36"/>
      <c r="AD485" s="36"/>
      <c r="AE485" s="36"/>
      <c r="AF485" s="36"/>
      <c r="AG485" s="36"/>
      <c r="AH485" s="36"/>
    </row>
    <row r="486">
      <c r="A486" s="37" t="s">
        <v>451</v>
      </c>
      <c r="B486" s="40" t="s">
        <v>1008</v>
      </c>
      <c r="C486" s="37" t="s">
        <v>457</v>
      </c>
      <c r="D486" s="39" t="str">
        <f>IFERROR(__xludf.DUMMYFUNCTION("GOOGLETRANSLATE(C486,""en"",""fr"")"),"Notes cliniques :")</f>
        <v>Notes cliniques :</v>
      </c>
      <c r="E486" s="39" t="str">
        <f>IFERROR(__xludf.DUMMYFUNCTION("GOOGLETRANSLATE(C486,""en"",""ht"")"),"Nòt klinik:")</f>
        <v>Nòt klinik:</v>
      </c>
      <c r="F486" s="34"/>
      <c r="G486" s="34"/>
      <c r="H486" s="34"/>
      <c r="I486" s="34"/>
      <c r="J486" s="34"/>
      <c r="K486" s="34"/>
      <c r="L486" s="34"/>
      <c r="M486" s="34"/>
      <c r="N486" s="34"/>
      <c r="O486" s="34"/>
      <c r="P486" s="34"/>
      <c r="Q486" s="34"/>
      <c r="R486" s="34"/>
      <c r="S486" s="34"/>
      <c r="T486" s="34"/>
      <c r="U486" s="34"/>
      <c r="V486" s="34"/>
      <c r="W486" s="34"/>
      <c r="X486" s="34"/>
      <c r="Y486" s="34"/>
      <c r="Z486" s="36"/>
      <c r="AA486" s="36"/>
      <c r="AB486" s="36"/>
      <c r="AC486" s="36"/>
      <c r="AD486" s="36"/>
      <c r="AE486" s="36"/>
      <c r="AF486" s="36"/>
      <c r="AG486" s="36"/>
      <c r="AH486" s="36"/>
    </row>
    <row r="487">
      <c r="A487" s="37" t="s">
        <v>82</v>
      </c>
      <c r="B487" s="40" t="s">
        <v>982</v>
      </c>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6"/>
      <c r="AA487" s="36"/>
      <c r="AB487" s="36"/>
      <c r="AC487" s="36"/>
      <c r="AD487" s="36"/>
      <c r="AE487" s="36"/>
      <c r="AF487" s="36"/>
      <c r="AG487" s="36"/>
      <c r="AH487" s="36"/>
    </row>
    <row r="488">
      <c r="A488" s="37" t="s">
        <v>49</v>
      </c>
      <c r="B488" s="40" t="s">
        <v>1009</v>
      </c>
      <c r="C488" s="37" t="s">
        <v>415</v>
      </c>
      <c r="D488" s="39" t="str">
        <f>IFERROR(__xludf.DUMMYFUNCTION("GOOGLETRANSLATE(C488,""en"",""fr"")"),"Anémie modérée")</f>
        <v>Anémie modérée</v>
      </c>
      <c r="E488" s="39" t="str">
        <f>IFERROR(__xludf.DUMMYFUNCTION("GOOGLETRANSLATE(C488,""en"",""ht"")"),"Anemi modere")</f>
        <v>Anemi modere</v>
      </c>
      <c r="F488" s="34"/>
      <c r="G488" s="34"/>
      <c r="H488" s="34"/>
      <c r="I488" s="34"/>
      <c r="J488" s="37" t="s">
        <v>416</v>
      </c>
      <c r="K488" s="37" t="s">
        <v>58</v>
      </c>
      <c r="L488" s="34"/>
      <c r="M488" s="34"/>
      <c r="N488" s="34"/>
      <c r="O488" s="34"/>
      <c r="P488" s="34"/>
      <c r="Q488" s="34"/>
      <c r="R488" s="34"/>
      <c r="S488" s="34"/>
      <c r="T488" s="34"/>
      <c r="U488" s="34"/>
      <c r="V488" s="34"/>
      <c r="W488" s="34"/>
      <c r="X488" s="34"/>
      <c r="Y488" s="34"/>
      <c r="Z488" s="36"/>
      <c r="AA488" s="36"/>
      <c r="AB488" s="36"/>
      <c r="AC488" s="36"/>
      <c r="AD488" s="36"/>
      <c r="AE488" s="36"/>
      <c r="AF488" s="36"/>
      <c r="AG488" s="36"/>
      <c r="AH488" s="36"/>
    </row>
    <row r="489">
      <c r="A489" s="37" t="s">
        <v>38</v>
      </c>
      <c r="B489" s="40" t="s">
        <v>1010</v>
      </c>
      <c r="C489" s="37" t="s">
        <v>1011</v>
      </c>
      <c r="D489" s="39" t="str">
        <f>IFERROR(__xludf.DUMMYFUNCTION("GOOGLETRANSLATE(C489,""en"",""fr"")"),"Le patient présente une anémie modérée.")</f>
        <v>Le patient présente une anémie modérée.</v>
      </c>
      <c r="E489" s="39" t="str">
        <f>IFERROR(__xludf.DUMMYFUNCTION("GOOGLETRANSLATE(C489,""en"",""ht"")"),"Pasyan an gen anemi modere")</f>
        <v>Pasyan an gen anemi modere</v>
      </c>
      <c r="F489" s="34"/>
      <c r="G489" s="34"/>
      <c r="H489" s="34"/>
      <c r="I489" s="34"/>
      <c r="K489" s="37" t="s">
        <v>182</v>
      </c>
      <c r="L489" s="34"/>
      <c r="M489" s="34"/>
      <c r="N489" s="34"/>
      <c r="O489" s="34"/>
      <c r="P489" s="34"/>
      <c r="Q489" s="34"/>
      <c r="R489" s="34"/>
      <c r="S489" s="34"/>
      <c r="T489" s="34"/>
      <c r="U489" s="34"/>
      <c r="V489" s="34"/>
      <c r="W489" s="34"/>
      <c r="X489" s="34"/>
      <c r="Y489" s="34"/>
      <c r="Z489" s="36"/>
      <c r="AA489" s="36"/>
      <c r="AB489" s="36"/>
      <c r="AC489" s="36"/>
      <c r="AD489" s="36"/>
      <c r="AE489" s="36"/>
      <c r="AF489" s="36"/>
      <c r="AG489" s="36"/>
      <c r="AH489" s="36"/>
    </row>
    <row r="490">
      <c r="A490" s="37" t="s">
        <v>38</v>
      </c>
      <c r="B490" s="40" t="s">
        <v>1012</v>
      </c>
      <c r="C490" s="37" t="s">
        <v>1013</v>
      </c>
      <c r="D490" s="39" t="str">
        <f>IFERROR(__xludf.DUMMYFUNCTION("GOOGLETRANSLATE(C490,""en"",""fr"")"),"Protocole :
- Distribuer 14 comprimés de fer et d’acide folique, à prendre à raison d’un comprimé par jour pendant 14 jours.")</f>
        <v>Protocole :
- Distribuer 14 comprimés de fer et d’acide folique, à prendre à raison d’un comprimé par jour pendant 14 jours.</v>
      </c>
      <c r="E490" s="39" t="str">
        <f>IFERROR(__xludf.DUMMYFUNCTION("GOOGLETRANSLATE(C490,""en"",""ht"")"),"Pwotokòl:
- Distribye 14 grenn fè ak asid folik pou pran 1 pa jou pandan 14 jou.")</f>
        <v>Pwotokòl:
- Distribye 14 grenn fè ak asid folik pou pran 1 pa jou pandan 14 jou.</v>
      </c>
      <c r="F490" s="34"/>
      <c r="G490" s="34"/>
      <c r="H490" s="34"/>
      <c r="I490" s="34"/>
      <c r="J490" s="34"/>
      <c r="K490" s="34"/>
      <c r="L490" s="34"/>
      <c r="M490" s="34"/>
      <c r="N490" s="34"/>
      <c r="O490" s="34"/>
      <c r="P490" s="34"/>
      <c r="Q490" s="34"/>
      <c r="R490" s="34"/>
      <c r="S490" s="34"/>
      <c r="T490" s="34"/>
      <c r="U490" s="34"/>
      <c r="V490" s="34"/>
      <c r="W490" s="34"/>
      <c r="X490" s="34"/>
      <c r="Y490" s="34"/>
      <c r="Z490" s="36"/>
      <c r="AA490" s="36"/>
      <c r="AB490" s="36"/>
      <c r="AC490" s="36"/>
      <c r="AD490" s="36"/>
      <c r="AE490" s="36"/>
      <c r="AF490" s="36"/>
      <c r="AG490" s="36"/>
      <c r="AH490" s="36"/>
    </row>
    <row r="491">
      <c r="A491" s="37" t="s">
        <v>38</v>
      </c>
      <c r="B491" s="40" t="s">
        <v>1014</v>
      </c>
      <c r="C491" s="37" t="s">
        <v>1015</v>
      </c>
      <c r="D491" s="39" t="str">
        <f>IFERROR(__xludf.DUMMYFUNCTION("GOOGLETRANSLATE(C491,""en"",""fr"")"),"Conseils diététiques :
- Fournir des conseils nutritionnels sur les aliments riches en fer tels que les légumes verts à feuilles (moringa, lyann panye, boujon manyok, boujon pwa), les fruits, les carottes râpées et la betterave rouge.")</f>
        <v>Conseils diététiques :
- Fournir des conseils nutritionnels sur les aliments riches en fer tels que les légumes verts à feuilles (moringa, lyann panye, boujon manyok, boujon pwa), les fruits, les carottes râpées et la betterave rouge.</v>
      </c>
      <c r="E491" s="39" t="str">
        <f>IFERROR(__xludf.DUMMYFUNCTION("GOOGLETRANSLATE(C491,""en"",""ht"")"),"Konsèy:
- Bay konsèy dyetetik sou manje ki rich an fè tankou fèy vèt (moringa, lyann panye, boujon manyok, boujon pwa), fwi, kawòt gratine ak bètrav wouj.")</f>
        <v>Konsèy:
- Bay konsèy dyetetik sou manje ki rich an fè tankou fèy vèt (moringa, lyann panye, boujon manyok, boujon pwa), fwi, kawòt gratine ak bètrav wouj.</v>
      </c>
      <c r="F491" s="34"/>
      <c r="G491" s="34"/>
      <c r="H491" s="34"/>
      <c r="I491" s="34"/>
      <c r="J491" s="34"/>
      <c r="K491" s="34"/>
      <c r="L491" s="34"/>
      <c r="M491" s="34"/>
      <c r="N491" s="34"/>
      <c r="O491" s="34"/>
      <c r="P491" s="34"/>
      <c r="Q491" s="34"/>
      <c r="R491" s="34"/>
      <c r="S491" s="34"/>
      <c r="T491" s="34"/>
      <c r="U491" s="34"/>
      <c r="V491" s="34"/>
      <c r="W491" s="34"/>
      <c r="X491" s="34"/>
      <c r="Y491" s="34"/>
      <c r="Z491" s="36"/>
      <c r="AA491" s="36"/>
      <c r="AB491" s="36"/>
      <c r="AC491" s="36"/>
      <c r="AD491" s="36"/>
      <c r="AE491" s="36"/>
      <c r="AF491" s="36"/>
      <c r="AG491" s="36"/>
      <c r="AH491" s="36"/>
    </row>
    <row r="492">
      <c r="A492" s="37" t="s">
        <v>445</v>
      </c>
      <c r="B492" s="40" t="s">
        <v>1016</v>
      </c>
      <c r="C492" s="37" t="s">
        <v>1017</v>
      </c>
      <c r="D492" s="39" t="str">
        <f>IFERROR(__xludf.DUMMYFUNCTION("GOOGLETRANSLATE(C492,""en"",""fr"")"),"Avez-vous distribué 14 comprimés de fer et d'acide folique ?")</f>
        <v>Avez-vous distribué 14 comprimés de fer et d'acide folique ?</v>
      </c>
      <c r="E492" s="39" t="str">
        <f>IFERROR(__xludf.DUMMYFUNCTION("GOOGLETRANSLATE(C492,""en"",""ht"")"),"Èske ou te distribye 14 grenn fè ak asid folik?")</f>
        <v>Èske ou te distribye 14 grenn fè ak asid folik?</v>
      </c>
      <c r="F492" s="34"/>
      <c r="G492" s="34"/>
      <c r="H492" s="34"/>
      <c r="I492" s="34"/>
      <c r="J492" s="34"/>
      <c r="K492" s="34"/>
      <c r="L492" s="34"/>
      <c r="M492" s="34"/>
      <c r="N492" s="34"/>
      <c r="O492" s="34"/>
      <c r="P492" s="34"/>
      <c r="Q492" s="34"/>
      <c r="R492" s="34"/>
      <c r="S492" s="34"/>
      <c r="T492" s="34"/>
      <c r="U492" s="34"/>
      <c r="V492" s="34"/>
      <c r="W492" s="34"/>
      <c r="X492" s="34"/>
      <c r="Y492" s="34"/>
      <c r="Z492" s="36"/>
      <c r="AA492" s="36"/>
      <c r="AB492" s="36"/>
      <c r="AC492" s="36"/>
      <c r="AD492" s="36"/>
      <c r="AE492" s="36"/>
      <c r="AF492" s="36"/>
      <c r="AG492" s="36"/>
      <c r="AH492" s="36"/>
    </row>
    <row r="493">
      <c r="A493" s="37" t="s">
        <v>102</v>
      </c>
      <c r="B493" s="40" t="s">
        <v>1018</v>
      </c>
      <c r="C493" s="37" t="s">
        <v>54</v>
      </c>
      <c r="D493" s="39" t="str">
        <f>IFERROR(__xludf.DUMMYFUNCTION("GOOGLETRANSLATE(C493,""en"",""fr"")"),"SANS ÉTIQUETTE")</f>
        <v>SANS ÉTIQUETTE</v>
      </c>
      <c r="E493" s="39" t="str">
        <f>IFERROR(__xludf.DUMMYFUNCTION("GOOGLETRANSLATE(C493,""en"",""ht"")"),"PA GEN_ETIKÈT")</f>
        <v>PA GEN_ETIKÈT</v>
      </c>
      <c r="F493" s="34"/>
      <c r="G493" s="34"/>
      <c r="H493" s="34"/>
      <c r="I493" s="34"/>
      <c r="J493" s="34"/>
      <c r="K493" s="34"/>
      <c r="L493" s="34"/>
      <c r="M493" s="34"/>
      <c r="N493" s="34"/>
      <c r="O493" s="34"/>
      <c r="P493" s="34"/>
      <c r="Q493" s="37" t="s">
        <v>1019</v>
      </c>
      <c r="R493" s="34"/>
      <c r="S493" s="34"/>
      <c r="T493" s="34"/>
      <c r="U493" s="34"/>
      <c r="V493" s="34"/>
      <c r="W493" s="34"/>
      <c r="X493" s="34"/>
      <c r="Y493" s="34"/>
      <c r="Z493" s="36"/>
      <c r="AA493" s="36"/>
      <c r="AB493" s="36"/>
      <c r="AC493" s="36"/>
      <c r="AD493" s="36"/>
      <c r="AE493" s="36"/>
      <c r="AF493" s="36"/>
      <c r="AG493" s="36"/>
      <c r="AH493" s="36"/>
    </row>
    <row r="494">
      <c r="A494" s="37" t="s">
        <v>451</v>
      </c>
      <c r="B494" s="40" t="s">
        <v>1020</v>
      </c>
      <c r="C494" s="37" t="s">
        <v>453</v>
      </c>
      <c r="D494" s="39" t="str">
        <f>IFERROR(__xludf.DUMMYFUNCTION("GOOGLETRANSLATE(C494,""en"",""fr"")"),"Vous avez laissé au moins une confirmation de médicament vide. Si cela est intentionnel, veuillez indiquer pourquoi ci-dessous.")</f>
        <v>Vous avez laissé au moins une confirmation de médicament vide. Si cela est intentionnel, veuillez indiquer pourquoi ci-dessous.</v>
      </c>
      <c r="E494" s="39" t="str">
        <f>IFERROR(__xludf.DUMMYFUNCTION("GOOGLETRANSLATE(C494,""en"",""ht"")"),"Ou kite omwen yon konfimasyon medikaman vid. Si se espre, ekri poukisa anba a.")</f>
        <v>Ou kite omwen yon konfimasyon medikaman vid. Si se espre, ekri poukisa anba a.</v>
      </c>
      <c r="F494" s="37" t="s">
        <v>454</v>
      </c>
      <c r="G494" s="39" t="str">
        <f>IFERROR(__xludf.DUMMYFUNCTION("GOOGLETRANSLATE(F494,""en"",""fr"")"),"Si vous avez distribué une quantité différente de médicaments, notez combien.")</f>
        <v>Si vous avez distribué une quantité différente de médicaments, notez combien.</v>
      </c>
      <c r="H494" s="39" t="str">
        <f>IFERROR(__xludf.DUMMYFUNCTION("GOOGLETRANSLATE(F494,""en"",""ht"")"),"Si ou te distribye yon kantite dwòg diferan, anrejistre konbyen.")</f>
        <v>Si ou te distribye yon kantite dwòg diferan, anrejistre konbyen.</v>
      </c>
      <c r="I494" s="37" t="s">
        <v>68</v>
      </c>
      <c r="J494" s="37" t="s">
        <v>1021</v>
      </c>
      <c r="K494" s="34"/>
      <c r="L494" s="34"/>
      <c r="M494" s="34"/>
      <c r="N494" s="34"/>
      <c r="O494" s="34"/>
      <c r="P494" s="34"/>
      <c r="Q494" s="34"/>
      <c r="R494" s="34"/>
      <c r="S494" s="34"/>
      <c r="T494" s="34"/>
      <c r="U494" s="34"/>
      <c r="V494" s="34"/>
      <c r="W494" s="34"/>
      <c r="X494" s="34"/>
      <c r="Y494" s="34"/>
      <c r="Z494" s="36"/>
      <c r="AA494" s="36"/>
      <c r="AB494" s="36"/>
      <c r="AC494" s="36"/>
      <c r="AD494" s="36"/>
      <c r="AE494" s="36"/>
      <c r="AF494" s="36"/>
      <c r="AG494" s="36"/>
      <c r="AH494" s="36"/>
    </row>
    <row r="495">
      <c r="A495" s="37" t="s">
        <v>451</v>
      </c>
      <c r="B495" s="40" t="s">
        <v>1022</v>
      </c>
      <c r="C495" s="37" t="s">
        <v>457</v>
      </c>
      <c r="D495" s="39" t="str">
        <f>IFERROR(__xludf.DUMMYFUNCTION("GOOGLETRANSLATE(C495,""en"",""fr"")"),"Notes cliniques :")</f>
        <v>Notes cliniques :</v>
      </c>
      <c r="E495" s="39" t="str">
        <f>IFERROR(__xludf.DUMMYFUNCTION("GOOGLETRANSLATE(C495,""en"",""ht"")"),"Nòt klinik:")</f>
        <v>Nòt klinik:</v>
      </c>
      <c r="F495" s="34"/>
      <c r="G495" s="34"/>
      <c r="H495" s="34"/>
      <c r="I495" s="34"/>
      <c r="J495" s="34"/>
      <c r="K495" s="34"/>
      <c r="L495" s="34"/>
      <c r="M495" s="34"/>
      <c r="N495" s="34"/>
      <c r="O495" s="34"/>
      <c r="P495" s="34"/>
      <c r="Q495" s="34"/>
      <c r="R495" s="34"/>
      <c r="S495" s="34"/>
      <c r="T495" s="34"/>
      <c r="U495" s="34"/>
      <c r="V495" s="34"/>
      <c r="W495" s="34"/>
      <c r="X495" s="34"/>
      <c r="Y495" s="34"/>
      <c r="Z495" s="36"/>
      <c r="AA495" s="36"/>
      <c r="AB495" s="36"/>
      <c r="AC495" s="36"/>
      <c r="AD495" s="36"/>
      <c r="AE495" s="36"/>
      <c r="AF495" s="36"/>
      <c r="AG495" s="36"/>
      <c r="AH495" s="36"/>
    </row>
    <row r="496">
      <c r="A496" s="37" t="s">
        <v>82</v>
      </c>
      <c r="B496" s="40" t="s">
        <v>1009</v>
      </c>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6"/>
      <c r="AA496" s="36"/>
      <c r="AB496" s="36"/>
      <c r="AC496" s="36"/>
      <c r="AD496" s="36"/>
      <c r="AE496" s="36"/>
      <c r="AF496" s="36"/>
      <c r="AG496" s="36"/>
      <c r="AH496" s="36"/>
    </row>
    <row r="497">
      <c r="A497" s="34"/>
      <c r="B497" s="35"/>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6"/>
      <c r="AA497" s="36"/>
      <c r="AB497" s="36"/>
      <c r="AC497" s="36"/>
      <c r="AD497" s="36"/>
      <c r="AE497" s="36"/>
      <c r="AF497" s="36"/>
      <c r="AG497" s="36"/>
      <c r="AH497" s="36"/>
    </row>
    <row r="498">
      <c r="A498" s="37" t="s">
        <v>49</v>
      </c>
      <c r="B498" s="40" t="s">
        <v>1023</v>
      </c>
      <c r="C498" s="37" t="s">
        <v>1024</v>
      </c>
      <c r="D498" s="39" t="str">
        <f>IFERROR(__xludf.DUMMYFUNCTION("GOOGLETRANSLATE(C498,""en"",""fr"")"),"Ordonnances supplémentaires")</f>
        <v>Ordonnances supplémentaires</v>
      </c>
      <c r="E498" s="39" t="str">
        <f>IFERROR(__xludf.DUMMYFUNCTION("GOOGLETRANSLATE(C498,""en"",""ht"")"),"Preskripsyon adisyonèl")</f>
        <v>Preskripsyon adisyonèl</v>
      </c>
      <c r="F498" s="34"/>
      <c r="G498" s="34"/>
      <c r="H498" s="34"/>
      <c r="I498" s="34"/>
      <c r="J498" s="37" t="s">
        <v>1025</v>
      </c>
      <c r="K498" s="37" t="s">
        <v>58</v>
      </c>
      <c r="L498" s="34"/>
      <c r="M498" s="34"/>
      <c r="N498" s="34"/>
      <c r="O498" s="34"/>
      <c r="P498" s="34"/>
      <c r="Q498" s="34"/>
      <c r="R498" s="34"/>
      <c r="S498" s="34"/>
      <c r="T498" s="34"/>
      <c r="U498" s="34"/>
      <c r="V498" s="34"/>
      <c r="W498" s="34"/>
      <c r="X498" s="34"/>
      <c r="Y498" s="34"/>
      <c r="Z498" s="36"/>
      <c r="AA498" s="36"/>
      <c r="AB498" s="36"/>
      <c r="AC498" s="36"/>
      <c r="AD498" s="36"/>
      <c r="AE498" s="36"/>
      <c r="AF498" s="36"/>
      <c r="AG498" s="36"/>
      <c r="AH498" s="36"/>
    </row>
    <row r="499">
      <c r="A499" s="37" t="s">
        <v>1026</v>
      </c>
      <c r="B499" s="40" t="s">
        <v>1027</v>
      </c>
      <c r="C499" s="37" t="s">
        <v>1028</v>
      </c>
      <c r="D499" s="39" t="str">
        <f>IFERROR(__xludf.DUMMYFUNCTION("GOOGLETRANSLATE(C499,""en"",""fr"")"),"Sélectionnez les médicaments supplémentaires à prescrire :")</f>
        <v>Sélectionnez les médicaments supplémentaires à prescrire :</v>
      </c>
      <c r="E499" s="39" t="str">
        <f>IFERROR(__xludf.DUMMYFUNCTION("GOOGLETRANSLATE(C499,""en"",""ht"")"),"Chwazi lòt medikaman pou preskri:")</f>
        <v>Chwazi lòt medikaman pou preskri:</v>
      </c>
      <c r="F499" s="37" t="s">
        <v>1029</v>
      </c>
      <c r="G499" s="37" t="s">
        <v>1030</v>
      </c>
      <c r="H499" s="37" t="s">
        <v>1031</v>
      </c>
      <c r="I499" s="34"/>
      <c r="J499" s="34"/>
      <c r="K499" s="34"/>
      <c r="L499" s="34"/>
      <c r="M499" s="37" t="s">
        <v>1032</v>
      </c>
      <c r="N499" s="37" t="s">
        <v>1033</v>
      </c>
      <c r="O499" s="37" t="s">
        <v>1034</v>
      </c>
      <c r="P499" s="37" t="s">
        <v>1035</v>
      </c>
      <c r="Q499" s="34"/>
      <c r="R499" s="34"/>
      <c r="S499" s="34"/>
      <c r="T499" s="34"/>
      <c r="U499" s="34"/>
      <c r="V499" s="34"/>
      <c r="W499" s="34"/>
      <c r="X499" s="34"/>
      <c r="Y499" s="34"/>
      <c r="Z499" s="36"/>
      <c r="AA499" s="36"/>
      <c r="AB499" s="36"/>
      <c r="AC499" s="36"/>
      <c r="AD499" s="36"/>
      <c r="AE499" s="36"/>
      <c r="AF499" s="36"/>
      <c r="AG499" s="36"/>
      <c r="AH499" s="36"/>
    </row>
    <row r="500">
      <c r="A500" s="37" t="s">
        <v>38</v>
      </c>
      <c r="B500" s="40" t="s">
        <v>1036</v>
      </c>
      <c r="C500" s="37" t="s">
        <v>1037</v>
      </c>
      <c r="D500" s="39" t="str">
        <f>IFERROR(__xludf.DUMMYFUNCTION("GOOGLETRANSLATE(C500,""en"",""fr"")"),"Protocole :
- Distribuer 28 comprimés de paracétamol 500 mg, à prendre 1 à 2 comprimés toutes les 6 à 8 heures au besoin.
OU
- Distribuer 14 comprimés de fer et d’acide folique, à prendre 1 par jour pendant 14 jours.")</f>
        <v>Protocole :
- Distribuer 28 comprimés de paracétamol 500 mg, à prendre 1 à 2 comprimés toutes les 6 à 8 heures au besoin.
OU
- Distribuer 14 comprimés de fer et d’acide folique, à prendre 1 par jour pendant 14 jours.</v>
      </c>
      <c r="E500" s="39" t="str">
        <f>IFERROR(__xludf.DUMMYFUNCTION("GOOGLETRANSLATE(C500,""en"",""ht"")"),"Pwotokòl:
- Distribye 28 grenn parasetamol 500mg pou pran 1-2 grenn chak 6-8 èdtan jan sa nesesè.
OSWA
- Distribye 14 grenn Fè + Asid Folik pou pran 1 chak jou pandan 14 jou.")</f>
        <v>Pwotokòl:
- Distribye 28 grenn parasetamol 500mg pou pran 1-2 grenn chak 6-8 èdtan jan sa nesesè.
OSWA
- Distribye 14 grenn Fè + Asid Folik pou pran 1 chak jou pandan 14 jou.</v>
      </c>
      <c r="F500" s="34"/>
      <c r="G500" s="34"/>
      <c r="H500" s="34"/>
      <c r="I500" s="34"/>
      <c r="J500" s="37" t="s">
        <v>1038</v>
      </c>
      <c r="K500" s="34"/>
      <c r="L500" s="34"/>
      <c r="M500" s="34"/>
      <c r="N500" s="34"/>
      <c r="O500" s="34"/>
      <c r="P500" s="34"/>
      <c r="Q500" s="34"/>
      <c r="R500" s="34"/>
      <c r="S500" s="34"/>
      <c r="T500" s="34"/>
      <c r="U500" s="34"/>
      <c r="V500" s="34"/>
      <c r="W500" s="34"/>
      <c r="X500" s="34"/>
      <c r="Y500" s="34"/>
      <c r="Z500" s="36"/>
      <c r="AA500" s="36"/>
      <c r="AB500" s="36"/>
      <c r="AC500" s="36"/>
      <c r="AD500" s="36"/>
      <c r="AE500" s="36"/>
      <c r="AF500" s="36"/>
      <c r="AG500" s="36"/>
      <c r="AH500" s="36"/>
    </row>
    <row r="501">
      <c r="A501" s="37" t="s">
        <v>445</v>
      </c>
      <c r="B501" s="40" t="s">
        <v>1039</v>
      </c>
      <c r="C501" s="37" t="s">
        <v>1040</v>
      </c>
      <c r="D501" s="39" t="str">
        <f>IFERROR(__xludf.DUMMYFUNCTION("GOOGLETRANSLATE(C501,""en"",""fr"")"),"Avez-vous distribué 28 comprimés de paracétamol 500 mg ?")</f>
        <v>Avez-vous distribué 28 comprimés de paracétamol 500 mg ?</v>
      </c>
      <c r="E501" s="39" t="str">
        <f>IFERROR(__xludf.DUMMYFUNCTION("GOOGLETRANSLATE(C501,""en"",""ht"")"),"Èske ou te distribye 28 Parasetamol 500mg?")</f>
        <v>Èske ou te distribye 28 Parasetamol 500mg?</v>
      </c>
      <c r="F501" s="34"/>
      <c r="G501" s="34"/>
      <c r="H501" s="34"/>
      <c r="I501" s="34"/>
      <c r="J501" s="37" t="s">
        <v>1041</v>
      </c>
      <c r="K501" s="34"/>
      <c r="L501" s="34"/>
      <c r="M501" s="34"/>
      <c r="N501" s="34"/>
      <c r="O501" s="34"/>
      <c r="P501" s="34"/>
      <c r="Q501" s="34"/>
      <c r="R501" s="34"/>
      <c r="S501" s="34"/>
      <c r="T501" s="34"/>
      <c r="U501" s="34"/>
      <c r="V501" s="34"/>
      <c r="W501" s="34"/>
      <c r="X501" s="34"/>
      <c r="Y501" s="34"/>
      <c r="Z501" s="36"/>
      <c r="AA501" s="36"/>
      <c r="AB501" s="36"/>
      <c r="AC501" s="36"/>
      <c r="AD501" s="36"/>
      <c r="AE501" s="36"/>
      <c r="AF501" s="36"/>
      <c r="AG501" s="36"/>
      <c r="AH501" s="36"/>
    </row>
    <row r="502">
      <c r="A502" s="37" t="s">
        <v>102</v>
      </c>
      <c r="B502" s="40" t="s">
        <v>1042</v>
      </c>
      <c r="C502" s="37" t="s">
        <v>54</v>
      </c>
      <c r="D502" s="39" t="str">
        <f>IFERROR(__xludf.DUMMYFUNCTION("GOOGLETRANSLATE(C502,""en"",""fr"")"),"SANS ÉTIQUETTE")</f>
        <v>SANS ÉTIQUETTE</v>
      </c>
      <c r="E502" s="39" t="str">
        <f>IFERROR(__xludf.DUMMYFUNCTION("GOOGLETRANSLATE(C502,""en"",""ht"")"),"PA GEN_ETIKÈT")</f>
        <v>PA GEN_ETIKÈT</v>
      </c>
      <c r="F502" s="34"/>
      <c r="G502" s="34"/>
      <c r="H502" s="34"/>
      <c r="I502" s="34"/>
      <c r="J502" s="34"/>
      <c r="K502" s="34"/>
      <c r="L502" s="34"/>
      <c r="M502" s="34"/>
      <c r="N502" s="34"/>
      <c r="O502" s="34"/>
      <c r="P502" s="34"/>
      <c r="Q502" s="37" t="s">
        <v>1043</v>
      </c>
      <c r="R502" s="34"/>
      <c r="S502" s="34"/>
      <c r="T502" s="34"/>
      <c r="U502" s="34"/>
      <c r="V502" s="34"/>
      <c r="W502" s="34"/>
      <c r="X502" s="34"/>
      <c r="Y502" s="34"/>
      <c r="Z502" s="36"/>
      <c r="AA502" s="36"/>
      <c r="AB502" s="36"/>
      <c r="AC502" s="36"/>
      <c r="AD502" s="36"/>
      <c r="AE502" s="36"/>
      <c r="AF502" s="36"/>
      <c r="AG502" s="36"/>
      <c r="AH502" s="36"/>
    </row>
    <row r="503">
      <c r="A503" s="37" t="s">
        <v>445</v>
      </c>
      <c r="B503" s="40" t="s">
        <v>1044</v>
      </c>
      <c r="C503" s="37" t="s">
        <v>1045</v>
      </c>
      <c r="D503" s="39" t="str">
        <f>IFERROR(__xludf.DUMMYFUNCTION("GOOGLETRANSLATE(C503,""en"",""fr"")"),"Avez-vous distribué 14 comprimés de fer et d'acide folique ?")</f>
        <v>Avez-vous distribué 14 comprimés de fer et d'acide folique ?</v>
      </c>
      <c r="E503" s="39" t="str">
        <f>IFERROR(__xludf.DUMMYFUNCTION("GOOGLETRANSLATE(C503,""en"",""ht"")"),"Èske ou te distribye 14 grenn fè + asid folik?")</f>
        <v>Èske ou te distribye 14 grenn fè + asid folik?</v>
      </c>
      <c r="F503" s="34"/>
      <c r="G503" s="34"/>
      <c r="H503" s="34"/>
      <c r="I503" s="34"/>
      <c r="J503" s="37" t="s">
        <v>1046</v>
      </c>
      <c r="K503" s="34"/>
      <c r="L503" s="34"/>
      <c r="M503" s="34"/>
      <c r="N503" s="34"/>
      <c r="O503" s="34"/>
      <c r="P503" s="34"/>
      <c r="Q503" s="34"/>
      <c r="R503" s="34"/>
      <c r="S503" s="34"/>
      <c r="T503" s="34"/>
      <c r="U503" s="34"/>
      <c r="V503" s="34"/>
      <c r="W503" s="34"/>
      <c r="X503" s="34"/>
      <c r="Y503" s="34"/>
      <c r="Z503" s="36"/>
      <c r="AA503" s="36"/>
      <c r="AB503" s="36"/>
      <c r="AC503" s="36"/>
      <c r="AD503" s="36"/>
      <c r="AE503" s="36"/>
      <c r="AF503" s="36"/>
      <c r="AG503" s="36"/>
      <c r="AH503" s="36"/>
    </row>
    <row r="504">
      <c r="A504" s="37" t="s">
        <v>102</v>
      </c>
      <c r="B504" s="40" t="s">
        <v>1047</v>
      </c>
      <c r="C504" s="37" t="s">
        <v>54</v>
      </c>
      <c r="D504" s="39" t="str">
        <f>IFERROR(__xludf.DUMMYFUNCTION("GOOGLETRANSLATE(C504,""en"",""fr"")"),"SANS ÉTIQUETTE")</f>
        <v>SANS ÉTIQUETTE</v>
      </c>
      <c r="E504" s="39" t="str">
        <f>IFERROR(__xludf.DUMMYFUNCTION("GOOGLETRANSLATE(C504,""en"",""ht"")"),"PA GEN_ETIKÈT")</f>
        <v>PA GEN_ETIKÈT</v>
      </c>
      <c r="F504" s="34"/>
      <c r="G504" s="34"/>
      <c r="H504" s="34"/>
      <c r="I504" s="34"/>
      <c r="J504" s="34"/>
      <c r="K504" s="34"/>
      <c r="L504" s="34"/>
      <c r="M504" s="34"/>
      <c r="N504" s="34"/>
      <c r="O504" s="34"/>
      <c r="P504" s="34"/>
      <c r="Q504" s="37" t="s">
        <v>1048</v>
      </c>
      <c r="R504" s="34"/>
      <c r="S504" s="34"/>
      <c r="T504" s="34"/>
      <c r="U504" s="34"/>
      <c r="V504" s="34"/>
      <c r="W504" s="34"/>
      <c r="X504" s="34"/>
      <c r="Y504" s="34"/>
      <c r="Z504" s="36"/>
      <c r="AA504" s="36"/>
      <c r="AB504" s="36"/>
      <c r="AC504" s="36"/>
      <c r="AD504" s="36"/>
      <c r="AE504" s="36"/>
      <c r="AF504" s="36"/>
      <c r="AG504" s="36"/>
      <c r="AH504" s="36"/>
    </row>
    <row r="505">
      <c r="A505" s="37" t="s">
        <v>451</v>
      </c>
      <c r="B505" s="40" t="s">
        <v>1049</v>
      </c>
      <c r="C505" s="37" t="s">
        <v>453</v>
      </c>
      <c r="D505" s="39" t="str">
        <f>IFERROR(__xludf.DUMMYFUNCTION("GOOGLETRANSLATE(C505,""en"",""fr"")"),"Vous avez laissé au moins une confirmation de médicament vide. Si cela est intentionnel, veuillez indiquer pourquoi ci-dessous.")</f>
        <v>Vous avez laissé au moins une confirmation de médicament vide. Si cela est intentionnel, veuillez indiquer pourquoi ci-dessous.</v>
      </c>
      <c r="E505" s="39" t="str">
        <f>IFERROR(__xludf.DUMMYFUNCTION("GOOGLETRANSLATE(C505,""en"",""ht"")"),"Ou kite omwen yon konfimasyon medikaman vid. Si se espre, ekri poukisa anba a.")</f>
        <v>Ou kite omwen yon konfimasyon medikaman vid. Si se espre, ekri poukisa anba a.</v>
      </c>
      <c r="F505" s="37" t="s">
        <v>454</v>
      </c>
      <c r="G505" s="37" t="s">
        <v>1050</v>
      </c>
      <c r="H505" s="37" t="s">
        <v>1051</v>
      </c>
      <c r="I505" s="37" t="s">
        <v>68</v>
      </c>
      <c r="J505" s="37" t="s">
        <v>1052</v>
      </c>
      <c r="K505" s="34"/>
      <c r="L505" s="34"/>
      <c r="M505" s="34"/>
      <c r="N505" s="34"/>
      <c r="O505" s="34"/>
      <c r="P505" s="34"/>
      <c r="Q505" s="34"/>
      <c r="R505" s="34"/>
      <c r="S505" s="34"/>
      <c r="T505" s="34"/>
      <c r="U505" s="34"/>
      <c r="V505" s="34"/>
      <c r="W505" s="34"/>
      <c r="X505" s="34"/>
      <c r="Y505" s="34"/>
      <c r="Z505" s="36"/>
      <c r="AA505" s="36"/>
      <c r="AB505" s="36"/>
      <c r="AC505" s="36"/>
      <c r="AD505" s="36"/>
      <c r="AE505" s="36"/>
      <c r="AF505" s="36"/>
      <c r="AG505" s="36"/>
      <c r="AH505" s="36"/>
    </row>
    <row r="506">
      <c r="A506" s="37" t="s">
        <v>451</v>
      </c>
      <c r="B506" s="40" t="s">
        <v>1053</v>
      </c>
      <c r="C506" s="37" t="s">
        <v>457</v>
      </c>
      <c r="D506" s="39" t="str">
        <f>IFERROR(__xludf.DUMMYFUNCTION("GOOGLETRANSLATE(C506,""en"",""fr"")"),"Notes cliniques :")</f>
        <v>Notes cliniques :</v>
      </c>
      <c r="E506" s="39" t="str">
        <f>IFERROR(__xludf.DUMMYFUNCTION("GOOGLETRANSLATE(C506,""en"",""ht"")"),"Nòt klinik:")</f>
        <v>Nòt klinik:</v>
      </c>
      <c r="F506" s="34"/>
      <c r="G506" s="34"/>
      <c r="H506" s="34"/>
      <c r="I506" s="34"/>
      <c r="J506" s="34"/>
      <c r="K506" s="34"/>
      <c r="L506" s="34"/>
      <c r="M506" s="34"/>
      <c r="N506" s="34"/>
      <c r="O506" s="34"/>
      <c r="P506" s="34"/>
      <c r="Q506" s="34"/>
      <c r="R506" s="34"/>
      <c r="S506" s="34"/>
      <c r="T506" s="34"/>
      <c r="U506" s="34"/>
      <c r="V506" s="34"/>
      <c r="W506" s="34"/>
      <c r="X506" s="34"/>
      <c r="Y506" s="34"/>
      <c r="Z506" s="36"/>
      <c r="AA506" s="36"/>
      <c r="AB506" s="36"/>
      <c r="AC506" s="36"/>
      <c r="AD506" s="36"/>
      <c r="AE506" s="36"/>
      <c r="AF506" s="36"/>
      <c r="AG506" s="36"/>
      <c r="AH506" s="36"/>
    </row>
    <row r="507">
      <c r="A507" s="37" t="s">
        <v>82</v>
      </c>
      <c r="B507" s="40" t="s">
        <v>1023</v>
      </c>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6"/>
      <c r="AA507" s="36"/>
      <c r="AB507" s="36"/>
      <c r="AC507" s="36"/>
      <c r="AD507" s="36"/>
      <c r="AE507" s="36"/>
      <c r="AF507" s="36"/>
      <c r="AG507" s="36"/>
      <c r="AH507" s="36"/>
    </row>
    <row r="508">
      <c r="A508" s="37"/>
      <c r="B508" s="40"/>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6"/>
      <c r="AA508" s="36"/>
      <c r="AB508" s="36"/>
      <c r="AC508" s="36"/>
      <c r="AD508" s="36"/>
      <c r="AE508" s="36"/>
      <c r="AF508" s="36"/>
      <c r="AG508" s="36"/>
      <c r="AH508" s="36"/>
    </row>
    <row r="509">
      <c r="A509" s="37" t="s">
        <v>49</v>
      </c>
      <c r="B509" s="40" t="s">
        <v>1054</v>
      </c>
      <c r="C509" s="37" t="s">
        <v>1055</v>
      </c>
      <c r="D509" s="34" t="str">
        <f>IFERROR(__xludf.DUMMYFUNCTION("GOOGLETRANSLATE(C509,""en"",""fr"")"),"Référer")</f>
        <v>Référer</v>
      </c>
      <c r="E509" s="34" t="str">
        <f>IFERROR(__xludf.DUMMYFUNCTION("GOOGLETRANSLATE(C509,""en"",""ht"")"),"Refere")</f>
        <v>Refere</v>
      </c>
      <c r="F509" s="34"/>
      <c r="G509" s="34"/>
      <c r="H509" s="34"/>
      <c r="I509" s="34"/>
      <c r="J509" s="37" t="s">
        <v>423</v>
      </c>
      <c r="K509" s="37" t="s">
        <v>58</v>
      </c>
      <c r="L509" s="34"/>
      <c r="M509" s="34"/>
      <c r="N509" s="34"/>
      <c r="O509" s="34"/>
      <c r="P509" s="34"/>
      <c r="Q509" s="34"/>
      <c r="R509" s="34"/>
      <c r="S509" s="34"/>
      <c r="T509" s="34"/>
      <c r="U509" s="34"/>
      <c r="V509" s="34"/>
      <c r="W509" s="34"/>
      <c r="X509" s="34"/>
      <c r="Y509" s="34"/>
      <c r="Z509" s="36"/>
      <c r="AA509" s="36"/>
      <c r="AB509" s="36"/>
      <c r="AC509" s="36"/>
      <c r="AD509" s="36"/>
      <c r="AE509" s="36"/>
      <c r="AF509" s="36"/>
      <c r="AG509" s="36"/>
      <c r="AH509" s="36"/>
    </row>
    <row r="510">
      <c r="A510" s="37" t="s">
        <v>1056</v>
      </c>
      <c r="B510" s="40" t="s">
        <v>1057</v>
      </c>
      <c r="C510" s="37" t="s">
        <v>1058</v>
      </c>
      <c r="D510" s="34" t="str">
        <f>IFERROR(__xludf.DUMMYFUNCTION("GOOGLETRANSLATE(C510,""en"",""fr"")"),"De quel lieu parliez-vous ?")</f>
        <v>De quel lieu parliez-vous ?</v>
      </c>
      <c r="E510" s="34" t="str">
        <f>IFERROR(__xludf.DUMMYFUNCTION("GOOGLETRANSLATE(C510,""en"",""ht"")"),"Ki kote ou te refere a?")</f>
        <v>Ki kote ou te refere a?</v>
      </c>
      <c r="F510" s="34"/>
      <c r="G510" s="34"/>
      <c r="H510" s="34"/>
      <c r="I510" s="37" t="s">
        <v>68</v>
      </c>
      <c r="J510" s="34"/>
      <c r="K510" s="34"/>
      <c r="L510" s="34"/>
      <c r="M510" s="34"/>
      <c r="N510" s="34"/>
      <c r="O510" s="34"/>
      <c r="P510" s="34"/>
      <c r="Q510" s="34"/>
      <c r="R510" s="34"/>
      <c r="S510" s="34"/>
      <c r="T510" s="34"/>
      <c r="U510" s="34"/>
      <c r="V510" s="34"/>
      <c r="W510" s="34"/>
      <c r="X510" s="34"/>
      <c r="Y510" s="34"/>
      <c r="Z510" s="36"/>
      <c r="AA510" s="36"/>
      <c r="AB510" s="36"/>
      <c r="AC510" s="36"/>
      <c r="AD510" s="36"/>
      <c r="AE510" s="36"/>
      <c r="AF510" s="36"/>
      <c r="AG510" s="36"/>
      <c r="AH510" s="36"/>
    </row>
    <row r="511">
      <c r="A511" s="37" t="s">
        <v>451</v>
      </c>
      <c r="B511" s="40" t="s">
        <v>1059</v>
      </c>
      <c r="C511" s="37" t="s">
        <v>1060</v>
      </c>
      <c r="D511" s="34" t="str">
        <f>IFERROR(__xludf.DUMMYFUNCTION("GOOGLETRANSLATE(C511,""en"",""fr"")"),"Si autre, quel lieu ?")</f>
        <v>Si autre, quel lieu ?</v>
      </c>
      <c r="E511" s="34" t="str">
        <f>IFERROR(__xludf.DUMMYFUNCTION("GOOGLETRANSLATE(C511,""en"",""ht"")"),"Si se yon lòt kote, ki kote?")</f>
        <v>Si se yon lòt kote, ki kote?</v>
      </c>
      <c r="F511" s="34"/>
      <c r="G511" s="34"/>
      <c r="H511" s="34"/>
      <c r="I511" s="37" t="s">
        <v>68</v>
      </c>
      <c r="J511" s="37" t="s">
        <v>1061</v>
      </c>
      <c r="K511" s="34"/>
      <c r="L511" s="34"/>
      <c r="M511" s="34"/>
      <c r="N511" s="34"/>
      <c r="O511" s="34"/>
      <c r="P511" s="34"/>
      <c r="Q511" s="34"/>
      <c r="R511" s="34"/>
      <c r="S511" s="34"/>
      <c r="T511" s="34"/>
      <c r="U511" s="34"/>
      <c r="V511" s="34"/>
      <c r="W511" s="34"/>
      <c r="X511" s="34"/>
      <c r="Y511" s="34"/>
      <c r="Z511" s="36"/>
      <c r="AA511" s="36"/>
      <c r="AB511" s="36"/>
      <c r="AC511" s="36"/>
      <c r="AD511" s="36"/>
      <c r="AE511" s="36"/>
      <c r="AF511" s="36"/>
      <c r="AG511" s="36"/>
      <c r="AH511" s="36"/>
    </row>
    <row r="512">
      <c r="A512" s="37" t="s">
        <v>82</v>
      </c>
      <c r="B512" s="40" t="s">
        <v>1054</v>
      </c>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6"/>
      <c r="AA512" s="36"/>
      <c r="AB512" s="36"/>
      <c r="AC512" s="36"/>
      <c r="AD512" s="36"/>
      <c r="AE512" s="36"/>
      <c r="AF512" s="36"/>
      <c r="AG512" s="36"/>
      <c r="AH512" s="36"/>
    </row>
    <row r="513">
      <c r="A513" s="37"/>
      <c r="B513" s="40"/>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6"/>
      <c r="AA513" s="36"/>
      <c r="AB513" s="36"/>
      <c r="AC513" s="36"/>
      <c r="AD513" s="36"/>
      <c r="AE513" s="36"/>
      <c r="AF513" s="36"/>
      <c r="AG513" s="36"/>
      <c r="AH513" s="36"/>
    </row>
    <row r="514">
      <c r="A514" s="37" t="s">
        <v>102</v>
      </c>
      <c r="B514" s="40" t="s">
        <v>1062</v>
      </c>
      <c r="C514" s="34"/>
      <c r="D514" s="34"/>
      <c r="E514" s="34"/>
      <c r="F514" s="34"/>
      <c r="G514" s="34"/>
      <c r="H514" s="34"/>
      <c r="I514" s="34"/>
      <c r="J514" s="34"/>
      <c r="K514" s="34"/>
      <c r="L514" s="34"/>
      <c r="M514" s="34"/>
      <c r="N514" s="34"/>
      <c r="O514" s="34"/>
      <c r="P514" s="34"/>
      <c r="Q514" s="37" t="s">
        <v>1063</v>
      </c>
      <c r="R514" s="34"/>
      <c r="S514" s="34"/>
      <c r="T514" s="34"/>
      <c r="U514" s="34"/>
      <c r="V514" s="34"/>
      <c r="W514" s="34"/>
      <c r="X514" s="34"/>
      <c r="Y514" s="34"/>
      <c r="Z514" s="36"/>
      <c r="AA514" s="36"/>
      <c r="AB514" s="36"/>
      <c r="AC514" s="36"/>
      <c r="AD514" s="36"/>
      <c r="AE514" s="36"/>
      <c r="AF514" s="36"/>
      <c r="AG514" s="36"/>
      <c r="AH514" s="36"/>
    </row>
    <row r="515">
      <c r="A515" s="37" t="s">
        <v>102</v>
      </c>
      <c r="B515" s="40" t="s">
        <v>1064</v>
      </c>
      <c r="C515" s="34"/>
      <c r="D515" s="34"/>
      <c r="E515" s="34"/>
      <c r="F515" s="34"/>
      <c r="G515" s="34"/>
      <c r="H515" s="34"/>
      <c r="I515" s="34"/>
      <c r="J515" s="34"/>
      <c r="K515" s="34"/>
      <c r="L515" s="34"/>
      <c r="M515" s="34"/>
      <c r="N515" s="34"/>
      <c r="O515" s="34"/>
      <c r="P515" s="34"/>
      <c r="Q515" s="37" t="s">
        <v>1065</v>
      </c>
      <c r="R515" s="34"/>
      <c r="S515" s="34"/>
      <c r="T515" s="34"/>
      <c r="U515" s="34"/>
      <c r="V515" s="34"/>
      <c r="W515" s="34"/>
      <c r="X515" s="34"/>
      <c r="Y515" s="34"/>
      <c r="Z515" s="36"/>
      <c r="AA515" s="36"/>
      <c r="AB515" s="36"/>
      <c r="AC515" s="36"/>
      <c r="AD515" s="36"/>
      <c r="AE515" s="36"/>
      <c r="AF515" s="36"/>
      <c r="AG515" s="36"/>
      <c r="AH515" s="36"/>
    </row>
    <row r="516">
      <c r="A516" s="37" t="s">
        <v>102</v>
      </c>
      <c r="B516" s="40" t="s">
        <v>1066</v>
      </c>
      <c r="C516" s="34"/>
      <c r="D516" s="34"/>
      <c r="E516" s="34"/>
      <c r="F516" s="34"/>
      <c r="G516" s="34"/>
      <c r="H516" s="34"/>
      <c r="I516" s="34"/>
      <c r="J516" s="34"/>
      <c r="K516" s="34"/>
      <c r="L516" s="34"/>
      <c r="M516" s="34"/>
      <c r="N516" s="34"/>
      <c r="O516" s="34"/>
      <c r="P516" s="34"/>
      <c r="Q516" s="37" t="s">
        <v>1067</v>
      </c>
      <c r="R516" s="34"/>
      <c r="S516" s="34"/>
      <c r="T516" s="34"/>
      <c r="U516" s="34"/>
      <c r="V516" s="34"/>
      <c r="W516" s="34"/>
      <c r="X516" s="34"/>
      <c r="Y516" s="34"/>
      <c r="Z516" s="36"/>
      <c r="AA516" s="36"/>
      <c r="AB516" s="36"/>
      <c r="AC516" s="36"/>
      <c r="AD516" s="36"/>
      <c r="AE516" s="36"/>
      <c r="AF516" s="36"/>
      <c r="AG516" s="36"/>
      <c r="AH516" s="36"/>
    </row>
    <row r="517">
      <c r="A517" s="37" t="s">
        <v>102</v>
      </c>
      <c r="B517" s="40" t="s">
        <v>1068</v>
      </c>
      <c r="C517" s="34"/>
      <c r="D517" s="34"/>
      <c r="E517" s="34"/>
      <c r="F517" s="34"/>
      <c r="G517" s="34"/>
      <c r="H517" s="34"/>
      <c r="I517" s="34"/>
      <c r="J517" s="34"/>
      <c r="K517" s="34"/>
      <c r="L517" s="34"/>
      <c r="M517" s="34"/>
      <c r="N517" s="34"/>
      <c r="O517" s="34"/>
      <c r="P517" s="37"/>
      <c r="Q517" s="37" t="s">
        <v>1069</v>
      </c>
      <c r="R517" s="34"/>
      <c r="S517" s="34"/>
      <c r="T517" s="34"/>
      <c r="U517" s="34"/>
      <c r="V517" s="34"/>
      <c r="W517" s="34"/>
      <c r="X517" s="34"/>
      <c r="Y517" s="34"/>
      <c r="Z517" s="36"/>
      <c r="AA517" s="36"/>
      <c r="AB517" s="36"/>
      <c r="AC517" s="36"/>
      <c r="AD517" s="36"/>
      <c r="AE517" s="36"/>
      <c r="AF517" s="36"/>
      <c r="AG517" s="36"/>
      <c r="AH517" s="36"/>
    </row>
    <row r="518">
      <c r="A518" s="37" t="s">
        <v>102</v>
      </c>
      <c r="B518" s="40" t="s">
        <v>1070</v>
      </c>
      <c r="C518" s="34"/>
      <c r="D518" s="34"/>
      <c r="E518" s="34"/>
      <c r="F518" s="34"/>
      <c r="G518" s="34"/>
      <c r="H518" s="34"/>
      <c r="I518" s="34"/>
      <c r="J518" s="34"/>
      <c r="K518" s="34"/>
      <c r="L518" s="34"/>
      <c r="M518" s="34"/>
      <c r="N518" s="34"/>
      <c r="O518" s="37"/>
      <c r="P518" s="34"/>
      <c r="Q518" s="37" t="s">
        <v>1071</v>
      </c>
      <c r="R518" s="34"/>
      <c r="S518" s="34"/>
      <c r="T518" s="34"/>
      <c r="U518" s="34"/>
      <c r="V518" s="34"/>
      <c r="W518" s="34"/>
      <c r="X518" s="34"/>
      <c r="Y518" s="34"/>
      <c r="Z518" s="36"/>
      <c r="AA518" s="36"/>
      <c r="AB518" s="36"/>
      <c r="AC518" s="36"/>
      <c r="AD518" s="36"/>
      <c r="AE518" s="36"/>
      <c r="AF518" s="36"/>
      <c r="AG518" s="36"/>
      <c r="AH518" s="36"/>
    </row>
    <row r="519">
      <c r="A519" s="37" t="s">
        <v>102</v>
      </c>
      <c r="B519" s="40" t="s">
        <v>1072</v>
      </c>
      <c r="C519" s="34"/>
      <c r="D519" s="34"/>
      <c r="E519" s="34"/>
      <c r="F519" s="34"/>
      <c r="G519" s="34"/>
      <c r="H519" s="34"/>
      <c r="I519" s="34"/>
      <c r="J519" s="34"/>
      <c r="K519" s="34"/>
      <c r="L519" s="34"/>
      <c r="M519" s="34"/>
      <c r="N519" s="34"/>
      <c r="O519" s="37"/>
      <c r="P519" s="34"/>
      <c r="Q519" s="37" t="s">
        <v>1073</v>
      </c>
      <c r="R519" s="34"/>
      <c r="S519" s="34"/>
      <c r="T519" s="34"/>
      <c r="U519" s="34"/>
      <c r="V519" s="34"/>
      <c r="W519" s="34"/>
      <c r="X519" s="34"/>
      <c r="Y519" s="34"/>
      <c r="Z519" s="36"/>
      <c r="AA519" s="36"/>
      <c r="AB519" s="36"/>
      <c r="AC519" s="36"/>
      <c r="AD519" s="36"/>
      <c r="AE519" s="36"/>
      <c r="AF519" s="36"/>
      <c r="AG519" s="36"/>
      <c r="AH519" s="36"/>
    </row>
    <row r="520">
      <c r="A520" s="37" t="s">
        <v>102</v>
      </c>
      <c r="B520" s="40" t="s">
        <v>1074</v>
      </c>
      <c r="C520" s="34"/>
      <c r="D520" s="34"/>
      <c r="E520" s="34"/>
      <c r="F520" s="34"/>
      <c r="G520" s="34"/>
      <c r="H520" s="34"/>
      <c r="I520" s="34"/>
      <c r="J520" s="34"/>
      <c r="K520" s="34"/>
      <c r="L520" s="34"/>
      <c r="M520" s="34"/>
      <c r="N520" s="34"/>
      <c r="O520" s="37"/>
      <c r="P520" s="34"/>
      <c r="Q520" s="37" t="s">
        <v>1075</v>
      </c>
      <c r="R520" s="34"/>
      <c r="S520" s="34"/>
      <c r="T520" s="34"/>
      <c r="U520" s="34"/>
      <c r="V520" s="34"/>
      <c r="W520" s="34"/>
      <c r="X520" s="34"/>
      <c r="Y520" s="34"/>
      <c r="Z520" s="36"/>
      <c r="AA520" s="36"/>
      <c r="AB520" s="36"/>
      <c r="AC520" s="36"/>
      <c r="AD520" s="36"/>
      <c r="AE520" s="36"/>
      <c r="AF520" s="36"/>
      <c r="AG520" s="36"/>
      <c r="AH520" s="36"/>
    </row>
    <row r="521">
      <c r="A521" s="37" t="s">
        <v>102</v>
      </c>
      <c r="B521" s="40" t="s">
        <v>1076</v>
      </c>
      <c r="C521" s="34"/>
      <c r="D521" s="34"/>
      <c r="E521" s="34"/>
      <c r="F521" s="34"/>
      <c r="G521" s="34"/>
      <c r="H521" s="34"/>
      <c r="I521" s="34"/>
      <c r="J521" s="34"/>
      <c r="K521" s="34"/>
      <c r="L521" s="34"/>
      <c r="M521" s="34"/>
      <c r="N521" s="34"/>
      <c r="O521" s="37"/>
      <c r="P521" s="34"/>
      <c r="Q521" s="37" t="s">
        <v>1077</v>
      </c>
      <c r="R521" s="34"/>
      <c r="S521" s="34"/>
      <c r="T521" s="34"/>
      <c r="U521" s="34"/>
      <c r="V521" s="34"/>
      <c r="W521" s="34"/>
      <c r="X521" s="34"/>
      <c r="Y521" s="34"/>
      <c r="Z521" s="36"/>
      <c r="AA521" s="36"/>
      <c r="AB521" s="36"/>
      <c r="AC521" s="36"/>
      <c r="AD521" s="36"/>
      <c r="AE521" s="36"/>
      <c r="AF521" s="36"/>
      <c r="AG521" s="36"/>
      <c r="AH521" s="36"/>
    </row>
    <row r="522">
      <c r="A522" s="37" t="s">
        <v>102</v>
      </c>
      <c r="B522" s="40" t="s">
        <v>1078</v>
      </c>
      <c r="C522" s="34"/>
      <c r="D522" s="34"/>
      <c r="E522" s="34"/>
      <c r="F522" s="34"/>
      <c r="G522" s="34"/>
      <c r="H522" s="34"/>
      <c r="I522" s="34"/>
      <c r="J522" s="34"/>
      <c r="K522" s="34"/>
      <c r="L522" s="34"/>
      <c r="M522" s="34"/>
      <c r="N522" s="34"/>
      <c r="O522" s="37"/>
      <c r="P522" s="34"/>
      <c r="Q522" s="37" t="s">
        <v>1079</v>
      </c>
      <c r="R522" s="34"/>
      <c r="S522" s="34"/>
      <c r="T522" s="34"/>
      <c r="U522" s="34"/>
      <c r="V522" s="34"/>
      <c r="W522" s="34"/>
      <c r="X522" s="34"/>
      <c r="Y522" s="34"/>
      <c r="Z522" s="36"/>
      <c r="AA522" s="36"/>
      <c r="AB522" s="36"/>
      <c r="AC522" s="36"/>
      <c r="AD522" s="36"/>
      <c r="AE522" s="36"/>
      <c r="AF522" s="36"/>
      <c r="AG522" s="36"/>
      <c r="AH522" s="36"/>
    </row>
    <row r="523">
      <c r="A523" s="37" t="s">
        <v>102</v>
      </c>
      <c r="B523" s="40" t="s">
        <v>1080</v>
      </c>
      <c r="C523" s="34"/>
      <c r="D523" s="34"/>
      <c r="E523" s="34"/>
      <c r="F523" s="34"/>
      <c r="G523" s="34"/>
      <c r="H523" s="34"/>
      <c r="I523" s="34"/>
      <c r="J523" s="34"/>
      <c r="K523" s="34"/>
      <c r="L523" s="34"/>
      <c r="M523" s="34"/>
      <c r="N523" s="34"/>
      <c r="O523" s="37"/>
      <c r="P523" s="34"/>
      <c r="Q523" s="37" t="s">
        <v>1081</v>
      </c>
      <c r="R523" s="34"/>
      <c r="S523" s="34"/>
      <c r="T523" s="34"/>
      <c r="U523" s="34"/>
      <c r="V523" s="34"/>
      <c r="W523" s="34"/>
      <c r="X523" s="34"/>
      <c r="Y523" s="34"/>
      <c r="Z523" s="36"/>
      <c r="AA523" s="36"/>
      <c r="AB523" s="36"/>
      <c r="AC523" s="36"/>
      <c r="AD523" s="36"/>
      <c r="AE523" s="36"/>
      <c r="AF523" s="36"/>
      <c r="AG523" s="36"/>
      <c r="AH523" s="36"/>
    </row>
    <row r="524">
      <c r="A524" s="37" t="s">
        <v>102</v>
      </c>
      <c r="B524" s="40" t="s">
        <v>1082</v>
      </c>
      <c r="C524" s="34"/>
      <c r="D524" s="34"/>
      <c r="E524" s="34"/>
      <c r="F524" s="34"/>
      <c r="G524" s="34"/>
      <c r="H524" s="34"/>
      <c r="I524" s="34"/>
      <c r="J524" s="34"/>
      <c r="K524" s="34"/>
      <c r="L524" s="34"/>
      <c r="M524" s="34"/>
      <c r="N524" s="34"/>
      <c r="O524" s="37"/>
      <c r="P524" s="34"/>
      <c r="Q524" s="37" t="s">
        <v>1083</v>
      </c>
      <c r="R524" s="34"/>
      <c r="S524" s="34"/>
      <c r="T524" s="34"/>
      <c r="U524" s="34"/>
      <c r="V524" s="34"/>
      <c r="W524" s="34"/>
      <c r="X524" s="34"/>
      <c r="Y524" s="34"/>
      <c r="Z524" s="36"/>
      <c r="AA524" s="36"/>
      <c r="AB524" s="36"/>
      <c r="AC524" s="36"/>
      <c r="AD524" s="36"/>
      <c r="AE524" s="36"/>
      <c r="AF524" s="36"/>
      <c r="AG524" s="36"/>
      <c r="AH524" s="36"/>
    </row>
    <row r="525">
      <c r="A525" s="37" t="s">
        <v>102</v>
      </c>
      <c r="B525" s="40" t="s">
        <v>1084</v>
      </c>
      <c r="C525" s="34"/>
      <c r="D525" s="34"/>
      <c r="E525" s="34"/>
      <c r="F525" s="34"/>
      <c r="G525" s="34"/>
      <c r="H525" s="34"/>
      <c r="I525" s="34"/>
      <c r="J525" s="34"/>
      <c r="K525" s="34"/>
      <c r="L525" s="34"/>
      <c r="M525" s="34"/>
      <c r="N525" s="37"/>
      <c r="O525" s="37"/>
      <c r="P525" s="34"/>
      <c r="Q525" s="37" t="s">
        <v>1085</v>
      </c>
      <c r="R525" s="34"/>
      <c r="S525" s="34"/>
      <c r="T525" s="34"/>
      <c r="U525" s="34"/>
      <c r="V525" s="34"/>
      <c r="W525" s="34"/>
      <c r="X525" s="34"/>
      <c r="Y525" s="34"/>
      <c r="Z525" s="36"/>
      <c r="AA525" s="36"/>
      <c r="AB525" s="36"/>
      <c r="AC525" s="36"/>
      <c r="AD525" s="36"/>
      <c r="AE525" s="36"/>
      <c r="AF525" s="36"/>
      <c r="AG525" s="36"/>
      <c r="AH525" s="36"/>
    </row>
    <row r="526">
      <c r="A526" s="37" t="s">
        <v>102</v>
      </c>
      <c r="B526" s="40" t="s">
        <v>1086</v>
      </c>
      <c r="C526" s="34"/>
      <c r="D526" s="34"/>
      <c r="E526" s="34"/>
      <c r="F526" s="34"/>
      <c r="G526" s="34"/>
      <c r="H526" s="34"/>
      <c r="I526" s="34"/>
      <c r="J526" s="34"/>
      <c r="K526" s="34"/>
      <c r="L526" s="34"/>
      <c r="M526" s="34"/>
      <c r="N526" s="37"/>
      <c r="O526" s="37"/>
      <c r="P526" s="34"/>
      <c r="Q526" s="37" t="s">
        <v>1087</v>
      </c>
      <c r="R526" s="34"/>
      <c r="S526" s="34"/>
      <c r="T526" s="34"/>
      <c r="U526" s="34"/>
      <c r="V526" s="34"/>
      <c r="W526" s="34"/>
      <c r="X526" s="34"/>
      <c r="Y526" s="34"/>
      <c r="Z526" s="36"/>
      <c r="AA526" s="36"/>
      <c r="AB526" s="36"/>
      <c r="AC526" s="36"/>
      <c r="AD526" s="36"/>
      <c r="AE526" s="36"/>
      <c r="AF526" s="36"/>
      <c r="AG526" s="36"/>
      <c r="AH526" s="36"/>
    </row>
    <row r="527">
      <c r="A527" s="37" t="s">
        <v>102</v>
      </c>
      <c r="B527" s="40" t="s">
        <v>1088</v>
      </c>
      <c r="C527" s="34"/>
      <c r="D527" s="34"/>
      <c r="E527" s="34"/>
      <c r="F527" s="34"/>
      <c r="G527" s="34"/>
      <c r="H527" s="34"/>
      <c r="I527" s="34"/>
      <c r="J527" s="34"/>
      <c r="K527" s="34"/>
      <c r="L527" s="34"/>
      <c r="M527" s="34"/>
      <c r="N527" s="37"/>
      <c r="O527" s="37"/>
      <c r="P527" s="34"/>
      <c r="Q527" s="37" t="s">
        <v>1089</v>
      </c>
      <c r="R527" s="34"/>
      <c r="S527" s="34"/>
      <c r="T527" s="34"/>
      <c r="U527" s="34"/>
      <c r="V527" s="34"/>
      <c r="W527" s="34"/>
      <c r="X527" s="34"/>
      <c r="Y527" s="34"/>
      <c r="Z527" s="36"/>
      <c r="AA527" s="36"/>
      <c r="AB527" s="36"/>
      <c r="AC527" s="36"/>
      <c r="AD527" s="36"/>
      <c r="AE527" s="36"/>
      <c r="AF527" s="36"/>
      <c r="AG527" s="36"/>
      <c r="AH527" s="36"/>
    </row>
    <row r="528">
      <c r="A528" s="37" t="s">
        <v>102</v>
      </c>
      <c r="B528" s="40" t="s">
        <v>1090</v>
      </c>
      <c r="C528" s="34"/>
      <c r="D528" s="34"/>
      <c r="E528" s="34"/>
      <c r="F528" s="34"/>
      <c r="G528" s="34"/>
      <c r="H528" s="34"/>
      <c r="I528" s="34"/>
      <c r="J528" s="34"/>
      <c r="K528" s="34"/>
      <c r="L528" s="34"/>
      <c r="M528" s="34"/>
      <c r="N528" s="37"/>
      <c r="O528" s="37"/>
      <c r="P528" s="34"/>
      <c r="Q528" s="37" t="s">
        <v>1091</v>
      </c>
      <c r="R528" s="34"/>
      <c r="S528" s="34"/>
      <c r="T528" s="34"/>
      <c r="U528" s="34"/>
      <c r="V528" s="34"/>
      <c r="W528" s="34"/>
      <c r="X528" s="34"/>
      <c r="Y528" s="34"/>
      <c r="Z528" s="36"/>
      <c r="AA528" s="36"/>
      <c r="AB528" s="36"/>
      <c r="AC528" s="36"/>
      <c r="AD528" s="36"/>
      <c r="AE528" s="36"/>
      <c r="AF528" s="36"/>
      <c r="AG528" s="36"/>
      <c r="AH528" s="36"/>
    </row>
    <row r="529">
      <c r="A529" s="37" t="s">
        <v>102</v>
      </c>
      <c r="B529" s="40" t="s">
        <v>1092</v>
      </c>
      <c r="C529" s="34"/>
      <c r="D529" s="34"/>
      <c r="E529" s="34"/>
      <c r="F529" s="34"/>
      <c r="G529" s="34"/>
      <c r="H529" s="34"/>
      <c r="I529" s="34"/>
      <c r="J529" s="34"/>
      <c r="K529" s="34"/>
      <c r="L529" s="34"/>
      <c r="M529" s="34"/>
      <c r="N529" s="37"/>
      <c r="O529" s="37"/>
      <c r="P529" s="34"/>
      <c r="Q529" s="37" t="s">
        <v>1093</v>
      </c>
      <c r="R529" s="34"/>
      <c r="S529" s="34"/>
      <c r="T529" s="34"/>
      <c r="U529" s="34"/>
      <c r="V529" s="34"/>
      <c r="W529" s="34"/>
      <c r="X529" s="34"/>
      <c r="Y529" s="34"/>
      <c r="Z529" s="36"/>
      <c r="AA529" s="36"/>
      <c r="AB529" s="36"/>
      <c r="AC529" s="36"/>
      <c r="AD529" s="36"/>
      <c r="AE529" s="36"/>
      <c r="AF529" s="36"/>
      <c r="AG529" s="36"/>
      <c r="AH529" s="36"/>
    </row>
    <row r="530">
      <c r="A530" s="37" t="s">
        <v>102</v>
      </c>
      <c r="B530" s="40" t="s">
        <v>1094</v>
      </c>
      <c r="C530" s="34"/>
      <c r="D530" s="34"/>
      <c r="E530" s="34"/>
      <c r="F530" s="34"/>
      <c r="G530" s="34"/>
      <c r="H530" s="34"/>
      <c r="I530" s="34"/>
      <c r="J530" s="34"/>
      <c r="K530" s="34"/>
      <c r="L530" s="34"/>
      <c r="M530" s="34"/>
      <c r="N530" s="37"/>
      <c r="O530" s="37"/>
      <c r="P530" s="34"/>
      <c r="Q530" s="37" t="s">
        <v>1095</v>
      </c>
      <c r="R530" s="34"/>
      <c r="S530" s="34"/>
      <c r="T530" s="34"/>
      <c r="U530" s="34"/>
      <c r="V530" s="34"/>
      <c r="W530" s="34"/>
      <c r="X530" s="34"/>
      <c r="Y530" s="34"/>
      <c r="Z530" s="36"/>
      <c r="AA530" s="36"/>
      <c r="AB530" s="36"/>
      <c r="AC530" s="36"/>
      <c r="AD530" s="36"/>
      <c r="AE530" s="36"/>
      <c r="AF530" s="36"/>
      <c r="AG530" s="36"/>
      <c r="AH530" s="36"/>
    </row>
    <row r="531">
      <c r="A531" s="37" t="s">
        <v>102</v>
      </c>
      <c r="B531" s="40" t="s">
        <v>1096</v>
      </c>
      <c r="C531" s="34"/>
      <c r="D531" s="34"/>
      <c r="E531" s="34"/>
      <c r="F531" s="34"/>
      <c r="G531" s="34"/>
      <c r="H531" s="34"/>
      <c r="I531" s="34"/>
      <c r="J531" s="34"/>
      <c r="K531" s="34"/>
      <c r="L531" s="34"/>
      <c r="M531" s="34"/>
      <c r="N531" s="37"/>
      <c r="O531" s="37"/>
      <c r="P531" s="34"/>
      <c r="Q531" s="37" t="s">
        <v>1097</v>
      </c>
      <c r="R531" s="34"/>
      <c r="S531" s="34"/>
      <c r="T531" s="34"/>
      <c r="U531" s="34"/>
      <c r="V531" s="34"/>
      <c r="W531" s="34"/>
      <c r="X531" s="34"/>
      <c r="Y531" s="34"/>
      <c r="Z531" s="36"/>
      <c r="AA531" s="36"/>
      <c r="AB531" s="36"/>
      <c r="AC531" s="36"/>
      <c r="AD531" s="36"/>
      <c r="AE531" s="36"/>
      <c r="AF531" s="36"/>
      <c r="AG531" s="36"/>
      <c r="AH531" s="36"/>
    </row>
    <row r="532">
      <c r="A532" s="37" t="s">
        <v>102</v>
      </c>
      <c r="B532" s="40" t="s">
        <v>1098</v>
      </c>
      <c r="C532" s="34"/>
      <c r="D532" s="34"/>
      <c r="E532" s="34"/>
      <c r="F532" s="34"/>
      <c r="G532" s="34"/>
      <c r="H532" s="34"/>
      <c r="I532" s="34"/>
      <c r="J532" s="34"/>
      <c r="K532" s="34"/>
      <c r="L532" s="34"/>
      <c r="M532" s="34"/>
      <c r="N532" s="37"/>
      <c r="O532" s="37"/>
      <c r="P532" s="34"/>
      <c r="Q532" s="37" t="s">
        <v>1099</v>
      </c>
      <c r="R532" s="34"/>
      <c r="S532" s="34"/>
      <c r="T532" s="34"/>
      <c r="U532" s="34"/>
      <c r="V532" s="34"/>
      <c r="W532" s="34"/>
      <c r="X532" s="34"/>
      <c r="Y532" s="34"/>
      <c r="Z532" s="36"/>
      <c r="AA532" s="36"/>
      <c r="AB532" s="36"/>
      <c r="AC532" s="36"/>
      <c r="AD532" s="36"/>
      <c r="AE532" s="36"/>
      <c r="AF532" s="36"/>
      <c r="AG532" s="36"/>
      <c r="AH532" s="36"/>
    </row>
    <row r="533">
      <c r="A533" s="37" t="s">
        <v>102</v>
      </c>
      <c r="B533" s="40" t="s">
        <v>1100</v>
      </c>
      <c r="C533" s="34"/>
      <c r="D533" s="34"/>
      <c r="E533" s="34"/>
      <c r="F533" s="34"/>
      <c r="G533" s="34"/>
      <c r="H533" s="34"/>
      <c r="I533" s="34"/>
      <c r="J533" s="34"/>
      <c r="K533" s="34"/>
      <c r="L533" s="34"/>
      <c r="M533" s="34"/>
      <c r="N533" s="37"/>
      <c r="O533" s="37"/>
      <c r="P533" s="34"/>
      <c r="Q533" s="37" t="s">
        <v>1101</v>
      </c>
      <c r="R533" s="34"/>
      <c r="S533" s="34"/>
      <c r="T533" s="34"/>
      <c r="U533" s="34"/>
      <c r="V533" s="34"/>
      <c r="W533" s="34"/>
      <c r="X533" s="34"/>
      <c r="Y533" s="34"/>
      <c r="Z533" s="36"/>
      <c r="AA533" s="36"/>
      <c r="AB533" s="36"/>
      <c r="AC533" s="36"/>
      <c r="AD533" s="36"/>
      <c r="AE533" s="36"/>
      <c r="AF533" s="36"/>
      <c r="AG533" s="36"/>
      <c r="AH533" s="36"/>
    </row>
    <row r="534">
      <c r="A534" s="37" t="s">
        <v>102</v>
      </c>
      <c r="B534" s="40" t="s">
        <v>1102</v>
      </c>
      <c r="C534" s="34"/>
      <c r="D534" s="34"/>
      <c r="E534" s="34"/>
      <c r="F534" s="34"/>
      <c r="G534" s="34"/>
      <c r="H534" s="34"/>
      <c r="I534" s="34"/>
      <c r="J534" s="34"/>
      <c r="K534" s="34"/>
      <c r="L534" s="34"/>
      <c r="M534" s="34"/>
      <c r="N534" s="37"/>
      <c r="O534" s="37"/>
      <c r="P534" s="34"/>
      <c r="Q534" s="37" t="s">
        <v>1103</v>
      </c>
      <c r="R534" s="34"/>
      <c r="S534" s="34"/>
      <c r="T534" s="34"/>
      <c r="U534" s="34"/>
      <c r="V534" s="34"/>
      <c r="W534" s="34"/>
      <c r="X534" s="34"/>
      <c r="Y534" s="34"/>
      <c r="Z534" s="36"/>
      <c r="AA534" s="36"/>
      <c r="AB534" s="36"/>
      <c r="AC534" s="36"/>
      <c r="AD534" s="36"/>
      <c r="AE534" s="36"/>
      <c r="AF534" s="36"/>
      <c r="AG534" s="36"/>
      <c r="AH534" s="36"/>
    </row>
    <row r="535">
      <c r="A535" s="37" t="s">
        <v>102</v>
      </c>
      <c r="B535" s="40" t="s">
        <v>1104</v>
      </c>
      <c r="C535" s="34"/>
      <c r="D535" s="34"/>
      <c r="E535" s="34"/>
      <c r="F535" s="34"/>
      <c r="G535" s="34"/>
      <c r="H535" s="34"/>
      <c r="I535" s="34"/>
      <c r="J535" s="37"/>
      <c r="K535" s="37"/>
      <c r="L535" s="37"/>
      <c r="M535" s="37"/>
      <c r="N535" s="37"/>
      <c r="O535" s="34"/>
      <c r="P535" s="34"/>
      <c r="Q535" s="37" t="s">
        <v>1105</v>
      </c>
      <c r="R535" s="34"/>
      <c r="S535" s="34"/>
      <c r="T535" s="34"/>
      <c r="U535" s="34"/>
      <c r="V535" s="34"/>
      <c r="W535" s="34"/>
      <c r="X535" s="34"/>
      <c r="Y535" s="34"/>
      <c r="Z535" s="36"/>
      <c r="AA535" s="36"/>
      <c r="AB535" s="36"/>
      <c r="AC535" s="36"/>
      <c r="AD535" s="36"/>
      <c r="AE535" s="36"/>
      <c r="AF535" s="36"/>
      <c r="AG535" s="36"/>
      <c r="AH535" s="36"/>
    </row>
    <row r="536">
      <c r="A536" s="37" t="s">
        <v>102</v>
      </c>
      <c r="B536" s="40" t="s">
        <v>1106</v>
      </c>
      <c r="C536" s="34"/>
      <c r="D536" s="34"/>
      <c r="E536" s="34"/>
      <c r="F536" s="34"/>
      <c r="G536" s="34"/>
      <c r="H536" s="34"/>
      <c r="I536" s="34"/>
      <c r="J536" s="37"/>
      <c r="K536" s="37"/>
      <c r="L536" s="37"/>
      <c r="M536" s="37"/>
      <c r="N536" s="37"/>
      <c r="O536" s="34"/>
      <c r="P536" s="34"/>
      <c r="Q536" s="37" t="s">
        <v>1107</v>
      </c>
      <c r="R536" s="34"/>
      <c r="S536" s="34"/>
      <c r="T536" s="34"/>
      <c r="U536" s="34"/>
      <c r="V536" s="34"/>
      <c r="W536" s="34"/>
      <c r="X536" s="34"/>
      <c r="Y536" s="34"/>
      <c r="Z536" s="36"/>
      <c r="AA536" s="36"/>
      <c r="AB536" s="36"/>
      <c r="AC536" s="36"/>
      <c r="AD536" s="36"/>
      <c r="AE536" s="36"/>
      <c r="AF536" s="36"/>
      <c r="AG536" s="36"/>
      <c r="AH536" s="36"/>
    </row>
    <row r="537">
      <c r="A537" s="37" t="s">
        <v>102</v>
      </c>
      <c r="B537" s="40" t="s">
        <v>1108</v>
      </c>
      <c r="C537" s="34"/>
      <c r="D537" s="34"/>
      <c r="E537" s="34"/>
      <c r="F537" s="34"/>
      <c r="G537" s="34"/>
      <c r="H537" s="34"/>
      <c r="I537" s="34"/>
      <c r="J537" s="34"/>
      <c r="K537" s="34"/>
      <c r="L537" s="34"/>
      <c r="M537" s="37"/>
      <c r="N537" s="37"/>
      <c r="O537" s="37"/>
      <c r="P537" s="34"/>
      <c r="Q537" s="37" t="s">
        <v>1109</v>
      </c>
      <c r="R537" s="34"/>
      <c r="S537" s="34"/>
      <c r="T537" s="34"/>
      <c r="U537" s="34"/>
      <c r="V537" s="34"/>
      <c r="W537" s="34"/>
      <c r="X537" s="34"/>
      <c r="Y537" s="34"/>
      <c r="Z537" s="36"/>
      <c r="AA537" s="36"/>
      <c r="AB537" s="36"/>
      <c r="AC537" s="36"/>
      <c r="AD537" s="36"/>
      <c r="AE537" s="36"/>
      <c r="AF537" s="36"/>
      <c r="AG537" s="36"/>
      <c r="AH537" s="36"/>
    </row>
    <row r="538">
      <c r="A538" s="37" t="s">
        <v>102</v>
      </c>
      <c r="B538" s="40" t="s">
        <v>1110</v>
      </c>
      <c r="C538" s="34"/>
      <c r="D538" s="34"/>
      <c r="E538" s="34"/>
      <c r="F538" s="34"/>
      <c r="G538" s="34"/>
      <c r="H538" s="34"/>
      <c r="I538" s="34"/>
      <c r="J538" s="34"/>
      <c r="K538" s="34"/>
      <c r="L538" s="34"/>
      <c r="M538" s="37"/>
      <c r="N538" s="37"/>
      <c r="O538" s="37"/>
      <c r="P538" s="34"/>
      <c r="Q538" s="37" t="s">
        <v>1111</v>
      </c>
      <c r="R538" s="34"/>
      <c r="S538" s="34"/>
      <c r="T538" s="34"/>
      <c r="U538" s="34"/>
      <c r="V538" s="34"/>
      <c r="W538" s="34"/>
      <c r="X538" s="34"/>
      <c r="Y538" s="34"/>
      <c r="Z538" s="36"/>
      <c r="AA538" s="36"/>
      <c r="AB538" s="36"/>
      <c r="AC538" s="36"/>
      <c r="AD538" s="36"/>
      <c r="AE538" s="36"/>
      <c r="AF538" s="36"/>
      <c r="AG538" s="36"/>
      <c r="AH538" s="36"/>
    </row>
    <row r="539">
      <c r="A539" s="37" t="s">
        <v>102</v>
      </c>
      <c r="B539" s="40" t="s">
        <v>1112</v>
      </c>
      <c r="C539" s="34"/>
      <c r="D539" s="34"/>
      <c r="E539" s="34"/>
      <c r="F539" s="34"/>
      <c r="G539" s="34"/>
      <c r="H539" s="34"/>
      <c r="I539" s="34"/>
      <c r="J539" s="34"/>
      <c r="K539" s="37"/>
      <c r="L539" s="37"/>
      <c r="M539" s="37"/>
      <c r="N539" s="37"/>
      <c r="O539" s="37"/>
      <c r="P539" s="34"/>
      <c r="Q539" s="37" t="s">
        <v>1113</v>
      </c>
      <c r="R539" s="34"/>
      <c r="S539" s="34"/>
      <c r="T539" s="34"/>
      <c r="U539" s="34"/>
      <c r="V539" s="34"/>
      <c r="W539" s="34"/>
      <c r="X539" s="34"/>
      <c r="Y539" s="34"/>
      <c r="Z539" s="36"/>
      <c r="AA539" s="36"/>
      <c r="AB539" s="36"/>
      <c r="AC539" s="36"/>
      <c r="AD539" s="36"/>
      <c r="AE539" s="36"/>
      <c r="AF539" s="36"/>
      <c r="AG539" s="36"/>
      <c r="AH539" s="36"/>
    </row>
    <row r="540">
      <c r="A540" s="37" t="s">
        <v>102</v>
      </c>
      <c r="B540" s="40" t="s">
        <v>1114</v>
      </c>
      <c r="C540" s="34"/>
      <c r="D540" s="34"/>
      <c r="E540" s="34"/>
      <c r="F540" s="34"/>
      <c r="G540" s="34"/>
      <c r="H540" s="34"/>
      <c r="I540" s="34"/>
      <c r="J540" s="34"/>
      <c r="K540" s="34"/>
      <c r="L540" s="34"/>
      <c r="M540" s="37"/>
      <c r="N540" s="37"/>
      <c r="O540" s="37"/>
      <c r="P540" s="37"/>
      <c r="Q540" s="37" t="s">
        <v>1115</v>
      </c>
      <c r="R540" s="34"/>
      <c r="S540" s="34"/>
      <c r="T540" s="34"/>
      <c r="U540" s="34"/>
      <c r="V540" s="34"/>
      <c r="W540" s="34"/>
      <c r="X540" s="34"/>
      <c r="Y540" s="34"/>
      <c r="Z540" s="36"/>
      <c r="AA540" s="36"/>
      <c r="AB540" s="36"/>
      <c r="AC540" s="36"/>
      <c r="AD540" s="36"/>
      <c r="AE540" s="36"/>
      <c r="AF540" s="36"/>
      <c r="AG540" s="36"/>
      <c r="AH540" s="36"/>
    </row>
    <row r="541">
      <c r="A541" s="34"/>
      <c r="B541" s="40"/>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6"/>
      <c r="AA541" s="36"/>
      <c r="AB541" s="36"/>
      <c r="AC541" s="36"/>
      <c r="AD541" s="36"/>
      <c r="AE541" s="36"/>
      <c r="AF541" s="36"/>
      <c r="AG541" s="36"/>
      <c r="AH541" s="36"/>
    </row>
    <row r="542">
      <c r="A542" s="34"/>
      <c r="B542" s="35"/>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6"/>
      <c r="AA542" s="36"/>
      <c r="AB542" s="36"/>
      <c r="AC542" s="36"/>
      <c r="AD542" s="36"/>
      <c r="AE542" s="36"/>
      <c r="AF542" s="36"/>
      <c r="AG542" s="36"/>
      <c r="AH542" s="36"/>
    </row>
    <row r="543">
      <c r="A543" s="54" t="s">
        <v>102</v>
      </c>
      <c r="B543" s="55" t="s">
        <v>1116</v>
      </c>
      <c r="C543" s="56"/>
      <c r="D543" s="56"/>
      <c r="E543" s="56"/>
      <c r="F543" s="56"/>
      <c r="G543" s="56"/>
      <c r="H543" s="56"/>
      <c r="I543" s="56"/>
      <c r="J543" s="56"/>
      <c r="K543" s="56"/>
      <c r="L543" s="34"/>
      <c r="M543" s="34"/>
      <c r="N543" s="34"/>
      <c r="O543" s="34"/>
      <c r="P543" s="34"/>
      <c r="Q543" s="54" t="s">
        <v>1117</v>
      </c>
      <c r="R543" s="34"/>
      <c r="S543" s="34"/>
      <c r="T543" s="34"/>
      <c r="U543" s="34"/>
      <c r="V543" s="34"/>
      <c r="W543" s="34"/>
      <c r="X543" s="34"/>
      <c r="Y543" s="34"/>
      <c r="Z543" s="36"/>
      <c r="AA543" s="36"/>
      <c r="AB543" s="36"/>
      <c r="AC543" s="36"/>
      <c r="AD543" s="36"/>
      <c r="AE543" s="36"/>
      <c r="AF543" s="36"/>
      <c r="AG543" s="36"/>
      <c r="AH543" s="36"/>
    </row>
    <row r="544">
      <c r="A544" s="57" t="s">
        <v>49</v>
      </c>
      <c r="B544" s="58" t="s">
        <v>1118</v>
      </c>
      <c r="C544" s="59"/>
      <c r="D544" s="59"/>
      <c r="E544" s="59"/>
      <c r="F544" s="59"/>
      <c r="G544" s="59"/>
      <c r="H544" s="59"/>
      <c r="I544" s="59"/>
      <c r="J544" s="59"/>
      <c r="K544" s="57" t="s">
        <v>170</v>
      </c>
      <c r="L544" s="34"/>
      <c r="M544" s="34"/>
      <c r="N544" s="34"/>
      <c r="O544" s="34"/>
      <c r="P544" s="34"/>
      <c r="Q544" s="59"/>
      <c r="R544" s="34"/>
      <c r="S544" s="34"/>
      <c r="T544" s="34"/>
      <c r="U544" s="34"/>
      <c r="V544" s="34"/>
      <c r="W544" s="34"/>
      <c r="X544" s="34"/>
      <c r="Y544" s="34"/>
      <c r="Z544" s="60" t="b">
        <v>1</v>
      </c>
      <c r="AA544" s="21"/>
      <c r="AB544" s="36"/>
      <c r="AC544" s="36"/>
      <c r="AD544" s="36"/>
      <c r="AE544" s="36"/>
      <c r="AF544" s="36"/>
      <c r="AG544" s="36"/>
      <c r="AH544" s="36"/>
    </row>
    <row r="545">
      <c r="A545" s="54" t="s">
        <v>102</v>
      </c>
      <c r="B545" s="55" t="s">
        <v>1119</v>
      </c>
      <c r="C545" s="56"/>
      <c r="D545" s="56"/>
      <c r="E545" s="56"/>
      <c r="F545" s="56"/>
      <c r="G545" s="56"/>
      <c r="H545" s="56"/>
      <c r="I545" s="56"/>
      <c r="J545" s="56"/>
      <c r="K545" s="56"/>
      <c r="L545" s="34"/>
      <c r="M545" s="34"/>
      <c r="N545" s="34"/>
      <c r="O545" s="34"/>
      <c r="P545" s="34"/>
      <c r="Q545" s="54" t="s">
        <v>1120</v>
      </c>
      <c r="R545" s="34"/>
      <c r="S545" s="34"/>
      <c r="T545" s="34"/>
      <c r="U545" s="34"/>
      <c r="V545" s="34"/>
      <c r="W545" s="34"/>
      <c r="X545" s="34"/>
      <c r="Y545" s="34"/>
      <c r="Z545" s="24"/>
      <c r="AA545" s="24"/>
      <c r="AB545" s="36"/>
      <c r="AC545" s="36"/>
      <c r="AD545" s="36"/>
      <c r="AE545" s="36"/>
      <c r="AF545" s="36"/>
      <c r="AG545" s="36"/>
      <c r="AH545" s="36"/>
    </row>
    <row r="546">
      <c r="A546" s="49" t="s">
        <v>102</v>
      </c>
      <c r="B546" s="61" t="s">
        <v>1121</v>
      </c>
      <c r="C546" s="44"/>
      <c r="D546" s="44"/>
      <c r="E546" s="44"/>
      <c r="F546" s="44"/>
      <c r="G546" s="44"/>
      <c r="H546" s="44"/>
      <c r="I546" s="44"/>
      <c r="J546" s="44"/>
      <c r="K546" s="44"/>
      <c r="L546" s="34"/>
      <c r="M546" s="34"/>
      <c r="N546" s="34"/>
      <c r="O546" s="34"/>
      <c r="P546" s="34"/>
      <c r="Q546" s="49" t="s">
        <v>1122</v>
      </c>
      <c r="R546" s="34"/>
      <c r="S546" s="34"/>
      <c r="T546" s="34"/>
      <c r="U546" s="34"/>
      <c r="V546" s="34"/>
      <c r="W546" s="34"/>
      <c r="X546" s="34"/>
      <c r="Y546" s="34"/>
      <c r="Z546" s="28"/>
      <c r="AA546" s="28"/>
      <c r="AB546" s="36"/>
      <c r="AC546" s="36"/>
      <c r="AD546" s="36"/>
      <c r="AE546" s="36"/>
      <c r="AF546" s="36"/>
      <c r="AG546" s="36"/>
      <c r="AH546" s="36"/>
    </row>
    <row r="547">
      <c r="A547" s="54" t="s">
        <v>102</v>
      </c>
      <c r="B547" s="55" t="s">
        <v>10</v>
      </c>
      <c r="C547" s="56"/>
      <c r="D547" s="56"/>
      <c r="E547" s="56"/>
      <c r="F547" s="56"/>
      <c r="G547" s="56"/>
      <c r="H547" s="56"/>
      <c r="I547" s="56"/>
      <c r="J547" s="56"/>
      <c r="K547" s="56"/>
      <c r="L547" s="34"/>
      <c r="M547" s="34"/>
      <c r="N547" s="34"/>
      <c r="O547" s="34"/>
      <c r="P547" s="34"/>
      <c r="Q547" s="54" t="s">
        <v>1123</v>
      </c>
      <c r="R547" s="34"/>
      <c r="S547" s="34"/>
      <c r="T547" s="34"/>
      <c r="U547" s="34"/>
      <c r="V547" s="34"/>
      <c r="W547" s="34"/>
      <c r="X547" s="34"/>
      <c r="Y547" s="34"/>
      <c r="Z547" s="24"/>
      <c r="AA547" s="24"/>
      <c r="AB547" s="36"/>
      <c r="AC547" s="36"/>
      <c r="AD547" s="36"/>
      <c r="AE547" s="36"/>
      <c r="AF547" s="36"/>
      <c r="AG547" s="36"/>
      <c r="AH547" s="36"/>
    </row>
    <row r="548">
      <c r="A548" s="49" t="s">
        <v>102</v>
      </c>
      <c r="B548" s="61" t="s">
        <v>1124</v>
      </c>
      <c r="C548" s="44"/>
      <c r="D548" s="44"/>
      <c r="E548" s="44"/>
      <c r="F548" s="44"/>
      <c r="G548" s="44"/>
      <c r="H548" s="44"/>
      <c r="I548" s="44"/>
      <c r="J548" s="44"/>
      <c r="K548" s="44"/>
      <c r="L548" s="34"/>
      <c r="M548" s="34"/>
      <c r="N548" s="34"/>
      <c r="O548" s="34"/>
      <c r="P548" s="34"/>
      <c r="Q548" s="62" t="s">
        <v>1125</v>
      </c>
      <c r="R548" s="34"/>
      <c r="S548" s="34"/>
      <c r="T548" s="34"/>
      <c r="U548" s="34"/>
      <c r="V548" s="34"/>
      <c r="W548" s="34"/>
      <c r="X548" s="34"/>
      <c r="Y548" s="34"/>
      <c r="Z548" s="28"/>
      <c r="AA548" s="63" t="s">
        <v>1126</v>
      </c>
      <c r="AB548" s="36"/>
      <c r="AC548" s="36"/>
      <c r="AD548" s="36"/>
      <c r="AE548" s="36"/>
      <c r="AF548" s="36"/>
      <c r="AG548" s="36"/>
      <c r="AH548" s="36"/>
    </row>
    <row r="549">
      <c r="A549" s="54" t="s">
        <v>102</v>
      </c>
      <c r="B549" s="55" t="s">
        <v>1127</v>
      </c>
      <c r="C549" s="56"/>
      <c r="D549" s="56"/>
      <c r="E549" s="56"/>
      <c r="F549" s="56"/>
      <c r="G549" s="56"/>
      <c r="H549" s="56"/>
      <c r="I549" s="56"/>
      <c r="J549" s="56"/>
      <c r="K549" s="56"/>
      <c r="L549" s="34"/>
      <c r="M549" s="34"/>
      <c r="N549" s="34"/>
      <c r="O549" s="34"/>
      <c r="P549" s="34"/>
      <c r="Q549" s="64" t="s">
        <v>1128</v>
      </c>
      <c r="R549" s="34"/>
      <c r="S549" s="34"/>
      <c r="T549" s="34"/>
      <c r="U549" s="34"/>
      <c r="V549" s="34"/>
      <c r="W549" s="34"/>
      <c r="X549" s="34"/>
      <c r="Y549" s="34"/>
      <c r="Z549" s="36"/>
      <c r="AA549" s="36"/>
      <c r="AB549" s="36"/>
      <c r="AC549" s="36"/>
      <c r="AD549" s="36"/>
      <c r="AE549" s="36"/>
      <c r="AF549" s="36"/>
      <c r="AG549" s="36"/>
      <c r="AH549" s="36"/>
    </row>
    <row r="550">
      <c r="A550" s="49" t="s">
        <v>102</v>
      </c>
      <c r="B550" s="61" t="s">
        <v>1129</v>
      </c>
      <c r="C550" s="44"/>
      <c r="D550" s="44"/>
      <c r="E550" s="44"/>
      <c r="F550" s="44"/>
      <c r="G550" s="44"/>
      <c r="H550" s="44"/>
      <c r="I550" s="44"/>
      <c r="J550" s="44"/>
      <c r="K550" s="44"/>
      <c r="L550" s="34"/>
      <c r="M550" s="34"/>
      <c r="N550" s="34"/>
      <c r="O550" s="34"/>
      <c r="P550" s="34"/>
      <c r="Q550" s="49" t="s">
        <v>1130</v>
      </c>
      <c r="R550" s="34"/>
      <c r="S550" s="34"/>
      <c r="T550" s="34"/>
      <c r="U550" s="34"/>
      <c r="V550" s="34"/>
      <c r="W550" s="34"/>
      <c r="X550" s="34"/>
      <c r="Y550" s="34"/>
      <c r="Z550" s="36"/>
      <c r="AA550" s="36"/>
      <c r="AB550" s="36"/>
      <c r="AC550" s="36"/>
      <c r="AD550" s="36"/>
      <c r="AE550" s="36"/>
      <c r="AF550" s="36"/>
      <c r="AG550" s="36"/>
      <c r="AH550" s="36"/>
    </row>
    <row r="551">
      <c r="A551" s="54" t="s">
        <v>102</v>
      </c>
      <c r="B551" s="55" t="s">
        <v>1131</v>
      </c>
      <c r="C551" s="56"/>
      <c r="D551" s="56"/>
      <c r="E551" s="56"/>
      <c r="F551" s="56"/>
      <c r="G551" s="56"/>
      <c r="H551" s="56"/>
      <c r="I551" s="56"/>
      <c r="J551" s="56"/>
      <c r="K551" s="56"/>
      <c r="L551" s="34"/>
      <c r="M551" s="34"/>
      <c r="N551" s="34"/>
      <c r="O551" s="34"/>
      <c r="P551" s="34"/>
      <c r="Q551" s="54" t="s">
        <v>1132</v>
      </c>
      <c r="R551" s="34"/>
      <c r="S551" s="34"/>
      <c r="T551" s="34"/>
      <c r="U551" s="34"/>
      <c r="V551" s="34"/>
      <c r="W551" s="34"/>
      <c r="X551" s="34"/>
      <c r="Y551" s="34"/>
      <c r="Z551" s="36"/>
      <c r="AA551" s="36"/>
      <c r="AB551" s="36"/>
      <c r="AC551" s="36"/>
      <c r="AD551" s="36"/>
      <c r="AE551" s="36"/>
      <c r="AF551" s="36"/>
      <c r="AG551" s="36"/>
      <c r="AH551" s="36"/>
    </row>
    <row r="552">
      <c r="A552" s="57" t="s">
        <v>49</v>
      </c>
      <c r="B552" s="58" t="s">
        <v>84</v>
      </c>
      <c r="C552" s="59"/>
      <c r="D552" s="59"/>
      <c r="E552" s="59"/>
      <c r="F552" s="59"/>
      <c r="G552" s="59"/>
      <c r="H552" s="59"/>
      <c r="I552" s="59"/>
      <c r="J552" s="59"/>
      <c r="K552" s="59"/>
      <c r="L552" s="34"/>
      <c r="M552" s="34"/>
      <c r="N552" s="34"/>
      <c r="O552" s="34"/>
      <c r="P552" s="34"/>
      <c r="Q552" s="59"/>
      <c r="R552" s="34"/>
      <c r="S552" s="34"/>
      <c r="T552" s="34"/>
      <c r="U552" s="34"/>
      <c r="V552" s="34"/>
      <c r="W552" s="34"/>
      <c r="X552" s="34"/>
      <c r="Y552" s="34"/>
      <c r="Z552" s="36"/>
      <c r="AA552" s="36"/>
      <c r="AB552" s="36"/>
      <c r="AC552" s="36"/>
      <c r="AD552" s="36"/>
      <c r="AE552" s="36"/>
      <c r="AF552" s="36"/>
      <c r="AG552" s="36"/>
      <c r="AH552" s="36"/>
    </row>
    <row r="553">
      <c r="A553" s="54" t="s">
        <v>102</v>
      </c>
      <c r="B553" s="55" t="s">
        <v>80</v>
      </c>
      <c r="C553" s="56"/>
      <c r="D553" s="56"/>
      <c r="E553" s="56"/>
      <c r="F553" s="56"/>
      <c r="G553" s="56"/>
      <c r="H553" s="56"/>
      <c r="I553" s="56"/>
      <c r="J553" s="56"/>
      <c r="K553" s="56"/>
      <c r="L553" s="34"/>
      <c r="M553" s="34"/>
      <c r="N553" s="34"/>
      <c r="O553" s="34"/>
      <c r="P553" s="34"/>
      <c r="Q553" s="54" t="s">
        <v>1122</v>
      </c>
      <c r="R553" s="34"/>
      <c r="S553" s="34"/>
      <c r="T553" s="34"/>
      <c r="U553" s="34"/>
      <c r="V553" s="34"/>
      <c r="W553" s="34"/>
      <c r="X553" s="34"/>
      <c r="Y553" s="34"/>
      <c r="Z553" s="36"/>
      <c r="AA553" s="36"/>
      <c r="AB553" s="36"/>
      <c r="AC553" s="36"/>
      <c r="AD553" s="36"/>
      <c r="AE553" s="36"/>
      <c r="AF553" s="36"/>
      <c r="AG553" s="36"/>
      <c r="AH553" s="36"/>
    </row>
    <row r="554">
      <c r="A554" s="57" t="s">
        <v>82</v>
      </c>
      <c r="B554" s="58" t="s">
        <v>84</v>
      </c>
      <c r="C554" s="59"/>
      <c r="D554" s="59"/>
      <c r="E554" s="59"/>
      <c r="F554" s="59"/>
      <c r="G554" s="59"/>
      <c r="H554" s="59"/>
      <c r="I554" s="59"/>
      <c r="J554" s="59"/>
      <c r="K554" s="59"/>
      <c r="L554" s="34"/>
      <c r="M554" s="34"/>
      <c r="N554" s="34"/>
      <c r="O554" s="34"/>
      <c r="P554" s="34"/>
      <c r="Q554" s="34"/>
      <c r="R554" s="34"/>
      <c r="S554" s="34"/>
      <c r="T554" s="34"/>
      <c r="U554" s="34"/>
      <c r="V554" s="34"/>
      <c r="W554" s="34"/>
      <c r="X554" s="34"/>
      <c r="Y554" s="34"/>
      <c r="Z554" s="36"/>
      <c r="AA554" s="36"/>
      <c r="AB554" s="36"/>
      <c r="AC554" s="36"/>
      <c r="AD554" s="36"/>
      <c r="AE554" s="36"/>
      <c r="AF554" s="36"/>
      <c r="AG554" s="36"/>
      <c r="AH554" s="36"/>
    </row>
    <row r="555">
      <c r="A555" s="57" t="s">
        <v>49</v>
      </c>
      <c r="B555" s="58" t="s">
        <v>1133</v>
      </c>
      <c r="C555" s="59"/>
      <c r="D555" s="59"/>
      <c r="E555" s="59"/>
      <c r="F555" s="59"/>
      <c r="G555" s="59"/>
      <c r="H555" s="59"/>
      <c r="I555" s="59"/>
      <c r="J555" s="59"/>
      <c r="K555" s="59"/>
      <c r="L555" s="34"/>
      <c r="M555" s="34"/>
      <c r="N555" s="34"/>
      <c r="O555" s="34"/>
      <c r="P555" s="34"/>
      <c r="Q555" s="34"/>
      <c r="R555" s="34"/>
      <c r="S555" s="34"/>
      <c r="T555" s="34"/>
      <c r="U555" s="34"/>
      <c r="V555" s="34"/>
      <c r="W555" s="34"/>
      <c r="X555" s="34"/>
      <c r="Y555" s="34"/>
      <c r="Z555" s="36"/>
      <c r="AA555" s="36"/>
      <c r="AB555" s="36"/>
      <c r="AC555" s="36"/>
      <c r="AD555" s="36"/>
      <c r="AE555" s="36"/>
      <c r="AF555" s="36"/>
      <c r="AG555" s="36"/>
      <c r="AH555" s="36"/>
    </row>
    <row r="556">
      <c r="A556" s="49" t="s">
        <v>38</v>
      </c>
      <c r="B556" s="61" t="s">
        <v>1134</v>
      </c>
      <c r="C556" s="49" t="s">
        <v>54</v>
      </c>
      <c r="D556" s="49" t="s">
        <v>54</v>
      </c>
      <c r="E556" s="49" t="s">
        <v>54</v>
      </c>
      <c r="F556" s="44"/>
      <c r="G556" s="44"/>
      <c r="H556" s="44"/>
      <c r="I556" s="44"/>
      <c r="J556" s="44"/>
      <c r="K556" s="49" t="s">
        <v>63</v>
      </c>
      <c r="L556" s="34"/>
      <c r="M556" s="34"/>
      <c r="N556" s="34"/>
      <c r="O556" s="34"/>
      <c r="P556" s="34"/>
      <c r="Q556" s="34"/>
      <c r="R556" s="34"/>
      <c r="S556" s="34"/>
      <c r="T556" s="34"/>
      <c r="U556" s="34"/>
      <c r="V556" s="34"/>
      <c r="W556" s="34"/>
      <c r="X556" s="34"/>
      <c r="Y556" s="34"/>
      <c r="Z556" s="36"/>
      <c r="AA556" s="36"/>
      <c r="AB556" s="36"/>
      <c r="AC556" s="36"/>
      <c r="AD556" s="36"/>
      <c r="AE556" s="36"/>
      <c r="AF556" s="36"/>
      <c r="AG556" s="36"/>
      <c r="AH556" s="36"/>
    </row>
    <row r="557">
      <c r="A557" s="65" t="s">
        <v>102</v>
      </c>
      <c r="B557" s="66" t="s">
        <v>1135</v>
      </c>
      <c r="C557" s="67"/>
      <c r="D557" s="67"/>
      <c r="E557" s="67"/>
      <c r="F557" s="67"/>
      <c r="G557" s="67"/>
      <c r="H557" s="67"/>
      <c r="I557" s="67"/>
      <c r="J557" s="67"/>
      <c r="K557" s="67"/>
      <c r="L557" s="67"/>
      <c r="M557" s="67"/>
      <c r="N557" s="67"/>
      <c r="O557" s="67"/>
      <c r="P557" s="67"/>
      <c r="Q557" s="68" t="s">
        <v>1136</v>
      </c>
      <c r="R557" s="67"/>
      <c r="S557" s="67"/>
      <c r="T557" s="67"/>
      <c r="U557" s="67"/>
      <c r="V557" s="67"/>
      <c r="W557" s="67"/>
      <c r="X557" s="67"/>
      <c r="Y557" s="67"/>
      <c r="Z557" s="69"/>
      <c r="AA557" s="69"/>
      <c r="AB557" s="69"/>
      <c r="AC557" s="69"/>
      <c r="AD557" s="69"/>
      <c r="AE557" s="69"/>
      <c r="AF557" s="69"/>
      <c r="AG557" s="69"/>
      <c r="AH557" s="69"/>
    </row>
    <row r="558">
      <c r="A558" s="65" t="s">
        <v>102</v>
      </c>
      <c r="B558" s="66" t="s">
        <v>1137</v>
      </c>
      <c r="C558" s="67"/>
      <c r="D558" s="67"/>
      <c r="E558" s="67"/>
      <c r="F558" s="67"/>
      <c r="G558" s="67"/>
      <c r="H558" s="67"/>
      <c r="I558" s="67"/>
      <c r="J558" s="67"/>
      <c r="K558" s="67"/>
      <c r="L558" s="67"/>
      <c r="M558" s="67"/>
      <c r="N558" s="67"/>
      <c r="O558" s="67"/>
      <c r="P558" s="67"/>
      <c r="Q558" s="68" t="s">
        <v>1138</v>
      </c>
      <c r="R558" s="67"/>
      <c r="S558" s="67"/>
      <c r="T558" s="67"/>
      <c r="U558" s="67"/>
      <c r="V558" s="67"/>
      <c r="W558" s="67"/>
      <c r="X558" s="67"/>
      <c r="Y558" s="67"/>
      <c r="Z558" s="69"/>
      <c r="AA558" s="69"/>
      <c r="AB558" s="69"/>
      <c r="AC558" s="69"/>
      <c r="AD558" s="69"/>
      <c r="AE558" s="69"/>
      <c r="AF558" s="69"/>
      <c r="AG558" s="69"/>
      <c r="AH558" s="69"/>
    </row>
    <row r="559">
      <c r="A559" s="65" t="s">
        <v>102</v>
      </c>
      <c r="B559" s="66" t="s">
        <v>1139</v>
      </c>
      <c r="C559" s="67"/>
      <c r="D559" s="67"/>
      <c r="E559" s="67"/>
      <c r="F559" s="67"/>
      <c r="G559" s="67"/>
      <c r="H559" s="67"/>
      <c r="I559" s="67"/>
      <c r="J559" s="67"/>
      <c r="K559" s="67"/>
      <c r="L559" s="67"/>
      <c r="M559" s="67"/>
      <c r="N559" s="67"/>
      <c r="O559" s="67"/>
      <c r="P559" s="67"/>
      <c r="Q559" s="68" t="s">
        <v>1140</v>
      </c>
      <c r="R559" s="67"/>
      <c r="S559" s="67"/>
      <c r="T559" s="67"/>
      <c r="U559" s="67"/>
      <c r="V559" s="67"/>
      <c r="W559" s="67"/>
      <c r="X559" s="67"/>
      <c r="Y559" s="67"/>
      <c r="Z559" s="69"/>
      <c r="AA559" s="69"/>
      <c r="AB559" s="69"/>
      <c r="AC559" s="69"/>
      <c r="AD559" s="69"/>
      <c r="AE559" s="69"/>
      <c r="AF559" s="69"/>
      <c r="AG559" s="69"/>
      <c r="AH559" s="69"/>
    </row>
    <row r="560">
      <c r="A560" s="65" t="s">
        <v>102</v>
      </c>
      <c r="B560" s="66" t="s">
        <v>1141</v>
      </c>
      <c r="C560" s="67"/>
      <c r="D560" s="67"/>
      <c r="E560" s="67"/>
      <c r="F560" s="67"/>
      <c r="G560" s="67"/>
      <c r="H560" s="67"/>
      <c r="I560" s="67"/>
      <c r="J560" s="67"/>
      <c r="K560" s="67"/>
      <c r="L560" s="67"/>
      <c r="M560" s="67"/>
      <c r="N560" s="67"/>
      <c r="O560" s="67"/>
      <c r="P560" s="67"/>
      <c r="Q560" s="68" t="s">
        <v>1142</v>
      </c>
      <c r="R560" s="67"/>
      <c r="S560" s="67"/>
      <c r="T560" s="67"/>
      <c r="U560" s="67"/>
      <c r="V560" s="67"/>
      <c r="W560" s="67"/>
      <c r="X560" s="67"/>
      <c r="Y560" s="67"/>
      <c r="Z560" s="69"/>
      <c r="AA560" s="69"/>
      <c r="AB560" s="69"/>
      <c r="AC560" s="69"/>
      <c r="AD560" s="69"/>
      <c r="AE560" s="69"/>
      <c r="AF560" s="69"/>
      <c r="AG560" s="69"/>
      <c r="AH560" s="69"/>
    </row>
    <row r="561">
      <c r="A561" s="65" t="s">
        <v>102</v>
      </c>
      <c r="B561" s="66" t="s">
        <v>1143</v>
      </c>
      <c r="C561" s="67"/>
      <c r="D561" s="67"/>
      <c r="E561" s="67"/>
      <c r="F561" s="67"/>
      <c r="G561" s="67"/>
      <c r="H561" s="67"/>
      <c r="I561" s="67"/>
      <c r="J561" s="67"/>
      <c r="K561" s="67"/>
      <c r="L561" s="67"/>
      <c r="M561" s="67"/>
      <c r="N561" s="67"/>
      <c r="O561" s="67"/>
      <c r="P561" s="67"/>
      <c r="Q561" s="68" t="s">
        <v>1144</v>
      </c>
      <c r="R561" s="67"/>
      <c r="S561" s="67"/>
      <c r="T561" s="67"/>
      <c r="U561" s="67"/>
      <c r="V561" s="67"/>
      <c r="W561" s="67"/>
      <c r="X561" s="67"/>
      <c r="Y561" s="67"/>
      <c r="Z561" s="69"/>
      <c r="AA561" s="69"/>
      <c r="AB561" s="69"/>
      <c r="AC561" s="69"/>
      <c r="AD561" s="69"/>
      <c r="AE561" s="69"/>
      <c r="AF561" s="69"/>
      <c r="AG561" s="69"/>
      <c r="AH561" s="69"/>
    </row>
    <row r="562">
      <c r="A562" s="65" t="s">
        <v>102</v>
      </c>
      <c r="B562" s="66" t="s">
        <v>1145</v>
      </c>
      <c r="C562" s="67"/>
      <c r="D562" s="67"/>
      <c r="E562" s="67"/>
      <c r="F562" s="67"/>
      <c r="G562" s="67"/>
      <c r="H562" s="67"/>
      <c r="I562" s="67"/>
      <c r="J562" s="67"/>
      <c r="K562" s="67"/>
      <c r="L562" s="67"/>
      <c r="M562" s="67"/>
      <c r="N562" s="67"/>
      <c r="O562" s="67"/>
      <c r="P562" s="67"/>
      <c r="Q562" s="68" t="s">
        <v>1146</v>
      </c>
      <c r="R562" s="67"/>
      <c r="S562" s="67"/>
      <c r="T562" s="67"/>
      <c r="U562" s="67"/>
      <c r="V562" s="67"/>
      <c r="W562" s="67"/>
      <c r="X562" s="67"/>
      <c r="Y562" s="67"/>
      <c r="Z562" s="69"/>
      <c r="AA562" s="69"/>
      <c r="AB562" s="69"/>
      <c r="AC562" s="69"/>
      <c r="AD562" s="69"/>
      <c r="AE562" s="69"/>
      <c r="AF562" s="69"/>
      <c r="AG562" s="69"/>
      <c r="AH562" s="69"/>
    </row>
    <row r="563">
      <c r="A563" s="65" t="s">
        <v>102</v>
      </c>
      <c r="B563" s="66" t="s">
        <v>1147</v>
      </c>
      <c r="C563" s="67"/>
      <c r="D563" s="67"/>
      <c r="E563" s="67"/>
      <c r="F563" s="67"/>
      <c r="G563" s="67"/>
      <c r="H563" s="67"/>
      <c r="I563" s="67"/>
      <c r="J563" s="67"/>
      <c r="K563" s="67"/>
      <c r="L563" s="67"/>
      <c r="M563" s="67"/>
      <c r="N563" s="67"/>
      <c r="O563" s="67"/>
      <c r="P563" s="67"/>
      <c r="Q563" s="68" t="s">
        <v>1148</v>
      </c>
      <c r="R563" s="67"/>
      <c r="S563" s="67"/>
      <c r="T563" s="67"/>
      <c r="U563" s="67"/>
      <c r="V563" s="67"/>
      <c r="W563" s="67"/>
      <c r="X563" s="67"/>
      <c r="Y563" s="67"/>
      <c r="Z563" s="69"/>
      <c r="AA563" s="69"/>
      <c r="AB563" s="69"/>
      <c r="AC563" s="69"/>
      <c r="AD563" s="69"/>
      <c r="AE563" s="69"/>
      <c r="AF563" s="69"/>
      <c r="AG563" s="69"/>
      <c r="AH563" s="69"/>
    </row>
    <row r="564">
      <c r="A564" s="65" t="s">
        <v>102</v>
      </c>
      <c r="B564" s="66" t="s">
        <v>1149</v>
      </c>
      <c r="C564" s="67"/>
      <c r="D564" s="67"/>
      <c r="E564" s="67"/>
      <c r="F564" s="67"/>
      <c r="G564" s="67"/>
      <c r="H564" s="67"/>
      <c r="I564" s="67"/>
      <c r="J564" s="67"/>
      <c r="K564" s="67"/>
      <c r="L564" s="67"/>
      <c r="M564" s="67"/>
      <c r="N564" s="67"/>
      <c r="O564" s="67"/>
      <c r="P564" s="67"/>
      <c r="Q564" s="68" t="s">
        <v>1150</v>
      </c>
      <c r="R564" s="67"/>
      <c r="S564" s="67"/>
      <c r="T564" s="67"/>
      <c r="U564" s="67"/>
      <c r="V564" s="67"/>
      <c r="W564" s="67"/>
      <c r="X564" s="67"/>
      <c r="Y564" s="67"/>
      <c r="Z564" s="69"/>
      <c r="AA564" s="69"/>
      <c r="AB564" s="69"/>
      <c r="AC564" s="69"/>
      <c r="AD564" s="69"/>
      <c r="AE564" s="69"/>
      <c r="AF564" s="69"/>
      <c r="AG564" s="69"/>
      <c r="AH564" s="69"/>
    </row>
    <row r="565">
      <c r="A565" s="65" t="s">
        <v>102</v>
      </c>
      <c r="B565" s="66" t="s">
        <v>1151</v>
      </c>
      <c r="C565" s="67"/>
      <c r="D565" s="67"/>
      <c r="E565" s="67"/>
      <c r="F565" s="67"/>
      <c r="G565" s="67"/>
      <c r="H565" s="67"/>
      <c r="I565" s="67"/>
      <c r="J565" s="67"/>
      <c r="K565" s="67"/>
      <c r="L565" s="67"/>
      <c r="M565" s="67"/>
      <c r="N565" s="67"/>
      <c r="O565" s="67"/>
      <c r="P565" s="67"/>
      <c r="Q565" s="68" t="s">
        <v>1152</v>
      </c>
      <c r="R565" s="67"/>
      <c r="S565" s="67"/>
      <c r="T565" s="67"/>
      <c r="U565" s="67"/>
      <c r="V565" s="67"/>
      <c r="W565" s="67"/>
      <c r="X565" s="67"/>
      <c r="Y565" s="67"/>
      <c r="Z565" s="69"/>
      <c r="AA565" s="69"/>
      <c r="AB565" s="69"/>
      <c r="AC565" s="69"/>
      <c r="AD565" s="69"/>
      <c r="AE565" s="69"/>
      <c r="AF565" s="69"/>
      <c r="AG565" s="69"/>
      <c r="AH565" s="69"/>
    </row>
    <row r="566">
      <c r="A566" s="65" t="s">
        <v>102</v>
      </c>
      <c r="B566" s="66" t="s">
        <v>1153</v>
      </c>
      <c r="C566" s="67"/>
      <c r="D566" s="67"/>
      <c r="E566" s="67"/>
      <c r="F566" s="67"/>
      <c r="G566" s="67"/>
      <c r="H566" s="67"/>
      <c r="I566" s="67"/>
      <c r="J566" s="67"/>
      <c r="K566" s="67"/>
      <c r="L566" s="67"/>
      <c r="M566" s="67"/>
      <c r="N566" s="67"/>
      <c r="O566" s="67"/>
      <c r="P566" s="67"/>
      <c r="Q566" s="68" t="s">
        <v>1154</v>
      </c>
      <c r="R566" s="67"/>
      <c r="S566" s="67"/>
      <c r="T566" s="67"/>
      <c r="U566" s="67"/>
      <c r="V566" s="67"/>
      <c r="W566" s="67"/>
      <c r="X566" s="67"/>
      <c r="Y566" s="67"/>
      <c r="Z566" s="69"/>
      <c r="AA566" s="69"/>
      <c r="AB566" s="69"/>
      <c r="AC566" s="69"/>
      <c r="AD566" s="69"/>
      <c r="AE566" s="69"/>
      <c r="AF566" s="69"/>
      <c r="AG566" s="69"/>
      <c r="AH566" s="69"/>
    </row>
    <row r="567">
      <c r="A567" s="65" t="s">
        <v>102</v>
      </c>
      <c r="B567" s="66" t="s">
        <v>1155</v>
      </c>
      <c r="C567" s="67"/>
      <c r="D567" s="67"/>
      <c r="E567" s="67"/>
      <c r="F567" s="67"/>
      <c r="G567" s="67"/>
      <c r="H567" s="67"/>
      <c r="I567" s="67"/>
      <c r="J567" s="67"/>
      <c r="K567" s="67"/>
      <c r="L567" s="67"/>
      <c r="M567" s="67"/>
      <c r="N567" s="67"/>
      <c r="O567" s="67"/>
      <c r="P567" s="67"/>
      <c r="Q567" s="68" t="s">
        <v>1156</v>
      </c>
      <c r="R567" s="67"/>
      <c r="S567" s="67"/>
      <c r="T567" s="67"/>
      <c r="U567" s="67"/>
      <c r="V567" s="67"/>
      <c r="W567" s="67"/>
      <c r="X567" s="67"/>
      <c r="Y567" s="67"/>
      <c r="Z567" s="69"/>
      <c r="AA567" s="69"/>
      <c r="AB567" s="69"/>
      <c r="AC567" s="69"/>
      <c r="AD567" s="69"/>
      <c r="AE567" s="69"/>
      <c r="AF567" s="69"/>
      <c r="AG567" s="69"/>
      <c r="AH567" s="69"/>
    </row>
    <row r="568">
      <c r="A568" s="65" t="s">
        <v>102</v>
      </c>
      <c r="B568" s="66" t="s">
        <v>1157</v>
      </c>
      <c r="C568" s="67"/>
      <c r="D568" s="67"/>
      <c r="E568" s="67"/>
      <c r="F568" s="67"/>
      <c r="G568" s="67"/>
      <c r="H568" s="67"/>
      <c r="I568" s="67"/>
      <c r="J568" s="67"/>
      <c r="K568" s="67"/>
      <c r="L568" s="67"/>
      <c r="M568" s="67"/>
      <c r="N568" s="67"/>
      <c r="O568" s="67"/>
      <c r="P568" s="67"/>
      <c r="Q568" s="68" t="s">
        <v>1158</v>
      </c>
      <c r="R568" s="67"/>
      <c r="S568" s="67"/>
      <c r="T568" s="67"/>
      <c r="U568" s="67"/>
      <c r="V568" s="67"/>
      <c r="W568" s="67"/>
      <c r="X568" s="67"/>
      <c r="Y568" s="67"/>
      <c r="Z568" s="69"/>
      <c r="AA568" s="69"/>
      <c r="AB568" s="69"/>
      <c r="AC568" s="69"/>
      <c r="AD568" s="69"/>
      <c r="AE568" s="69"/>
      <c r="AF568" s="69"/>
      <c r="AG568" s="69"/>
      <c r="AH568" s="69"/>
    </row>
    <row r="569">
      <c r="A569" s="65" t="s">
        <v>102</v>
      </c>
      <c r="B569" s="66" t="s">
        <v>1159</v>
      </c>
      <c r="C569" s="67"/>
      <c r="D569" s="67"/>
      <c r="E569" s="67"/>
      <c r="F569" s="67"/>
      <c r="G569" s="67"/>
      <c r="H569" s="67"/>
      <c r="I569" s="67"/>
      <c r="J569" s="67"/>
      <c r="K569" s="67"/>
      <c r="L569" s="67"/>
      <c r="M569" s="67"/>
      <c r="N569" s="67"/>
      <c r="O569" s="67"/>
      <c r="P569" s="67"/>
      <c r="Q569" s="68" t="s">
        <v>1160</v>
      </c>
      <c r="R569" s="67"/>
      <c r="S569" s="67"/>
      <c r="T569" s="67"/>
      <c r="U569" s="67"/>
      <c r="V569" s="67"/>
      <c r="W569" s="67"/>
      <c r="X569" s="67"/>
      <c r="Y569" s="67"/>
      <c r="Z569" s="69"/>
      <c r="AA569" s="69"/>
      <c r="AB569" s="69"/>
      <c r="AC569" s="69"/>
      <c r="AD569" s="69"/>
      <c r="AE569" s="69"/>
      <c r="AF569" s="69"/>
      <c r="AG569" s="69"/>
      <c r="AH569" s="69"/>
    </row>
    <row r="570">
      <c r="A570" s="65" t="s">
        <v>102</v>
      </c>
      <c r="B570" s="66" t="s">
        <v>1161</v>
      </c>
      <c r="C570" s="67"/>
      <c r="D570" s="67"/>
      <c r="E570" s="67"/>
      <c r="F570" s="67"/>
      <c r="G570" s="67"/>
      <c r="H570" s="67"/>
      <c r="I570" s="67"/>
      <c r="J570" s="67"/>
      <c r="K570" s="67"/>
      <c r="L570" s="67"/>
      <c r="M570" s="67"/>
      <c r="N570" s="67"/>
      <c r="O570" s="67"/>
      <c r="P570" s="67"/>
      <c r="Q570" s="68" t="s">
        <v>1162</v>
      </c>
      <c r="R570" s="67"/>
      <c r="S570" s="67"/>
      <c r="T570" s="67"/>
      <c r="U570" s="67"/>
      <c r="V570" s="67"/>
      <c r="W570" s="67"/>
      <c r="X570" s="67"/>
      <c r="Y570" s="67"/>
      <c r="Z570" s="69"/>
      <c r="AA570" s="69"/>
      <c r="AB570" s="69"/>
      <c r="AC570" s="69"/>
      <c r="AD570" s="69"/>
      <c r="AE570" s="69"/>
      <c r="AF570" s="69"/>
      <c r="AG570" s="69"/>
      <c r="AH570" s="69"/>
    </row>
    <row r="571">
      <c r="A571" s="65" t="s">
        <v>102</v>
      </c>
      <c r="B571" s="66" t="s">
        <v>1163</v>
      </c>
      <c r="C571" s="67"/>
      <c r="D571" s="67"/>
      <c r="E571" s="67"/>
      <c r="F571" s="67"/>
      <c r="G571" s="67"/>
      <c r="H571" s="67"/>
      <c r="I571" s="67"/>
      <c r="J571" s="67"/>
      <c r="K571" s="67"/>
      <c r="L571" s="67"/>
      <c r="M571" s="67"/>
      <c r="N571" s="67"/>
      <c r="O571" s="67"/>
      <c r="P571" s="67"/>
      <c r="Q571" s="68" t="s">
        <v>1164</v>
      </c>
      <c r="R571" s="67"/>
      <c r="S571" s="67"/>
      <c r="T571" s="67"/>
      <c r="U571" s="67"/>
      <c r="V571" s="67"/>
      <c r="W571" s="67"/>
      <c r="X571" s="67"/>
      <c r="Y571" s="67"/>
      <c r="Z571" s="69"/>
      <c r="AA571" s="69"/>
      <c r="AB571" s="69"/>
      <c r="AC571" s="69"/>
      <c r="AD571" s="69"/>
      <c r="AE571" s="69"/>
      <c r="AF571" s="69"/>
      <c r="AG571" s="69"/>
      <c r="AH571" s="69"/>
    </row>
    <row r="572">
      <c r="A572" s="65" t="s">
        <v>102</v>
      </c>
      <c r="B572" s="66" t="s">
        <v>1165</v>
      </c>
      <c r="C572" s="67"/>
      <c r="D572" s="67"/>
      <c r="E572" s="67"/>
      <c r="F572" s="67"/>
      <c r="G572" s="67"/>
      <c r="H572" s="67"/>
      <c r="I572" s="67"/>
      <c r="J572" s="67"/>
      <c r="K572" s="67"/>
      <c r="L572" s="67"/>
      <c r="M572" s="67"/>
      <c r="N572" s="67"/>
      <c r="O572" s="67"/>
      <c r="P572" s="67"/>
      <c r="Q572" s="68" t="s">
        <v>1166</v>
      </c>
      <c r="R572" s="67"/>
      <c r="S572" s="67"/>
      <c r="T572" s="67"/>
      <c r="U572" s="67"/>
      <c r="V572" s="67"/>
      <c r="W572" s="67"/>
      <c r="X572" s="67"/>
      <c r="Y572" s="67"/>
      <c r="Z572" s="69"/>
      <c r="AA572" s="69"/>
      <c r="AB572" s="69"/>
      <c r="AC572" s="69"/>
      <c r="AD572" s="69"/>
      <c r="AE572" s="69"/>
      <c r="AF572" s="69"/>
      <c r="AG572" s="69"/>
      <c r="AH572" s="69"/>
    </row>
    <row r="573">
      <c r="A573" s="65" t="s">
        <v>102</v>
      </c>
      <c r="B573" s="66" t="s">
        <v>1167</v>
      </c>
      <c r="C573" s="67"/>
      <c r="D573" s="67"/>
      <c r="E573" s="67"/>
      <c r="F573" s="67"/>
      <c r="G573" s="67"/>
      <c r="H573" s="67"/>
      <c r="I573" s="67"/>
      <c r="J573" s="67"/>
      <c r="K573" s="67"/>
      <c r="L573" s="67"/>
      <c r="M573" s="67"/>
      <c r="N573" s="67"/>
      <c r="O573" s="67"/>
      <c r="P573" s="67"/>
      <c r="Q573" s="68" t="s">
        <v>1168</v>
      </c>
      <c r="R573" s="67"/>
      <c r="S573" s="67"/>
      <c r="T573" s="67"/>
      <c r="U573" s="67"/>
      <c r="V573" s="67"/>
      <c r="W573" s="67"/>
      <c r="X573" s="67"/>
      <c r="Y573" s="67"/>
      <c r="Z573" s="69"/>
      <c r="AA573" s="69"/>
      <c r="AB573" s="69"/>
      <c r="AC573" s="69"/>
      <c r="AD573" s="69"/>
      <c r="AE573" s="69"/>
      <c r="AF573" s="69"/>
      <c r="AG573" s="69"/>
      <c r="AH573" s="69"/>
    </row>
    <row r="574">
      <c r="A574" s="65" t="s">
        <v>102</v>
      </c>
      <c r="B574" s="66" t="s">
        <v>1169</v>
      </c>
      <c r="C574" s="67"/>
      <c r="D574" s="67"/>
      <c r="E574" s="67"/>
      <c r="F574" s="67"/>
      <c r="G574" s="67"/>
      <c r="H574" s="67"/>
      <c r="I574" s="67"/>
      <c r="J574" s="67"/>
      <c r="K574" s="67"/>
      <c r="L574" s="67"/>
      <c r="M574" s="67"/>
      <c r="N574" s="67"/>
      <c r="O574" s="67"/>
      <c r="P574" s="67"/>
      <c r="Q574" s="68" t="s">
        <v>1170</v>
      </c>
      <c r="R574" s="67"/>
      <c r="S574" s="67"/>
      <c r="T574" s="67"/>
      <c r="U574" s="67"/>
      <c r="V574" s="67"/>
      <c r="W574" s="67"/>
      <c r="X574" s="67"/>
      <c r="Y574" s="67"/>
      <c r="Z574" s="69"/>
      <c r="AA574" s="69"/>
      <c r="AB574" s="69"/>
      <c r="AC574" s="69"/>
      <c r="AD574" s="69"/>
      <c r="AE574" s="69"/>
      <c r="AF574" s="69"/>
      <c r="AG574" s="69"/>
      <c r="AH574" s="69"/>
    </row>
    <row r="575">
      <c r="A575" s="65" t="s">
        <v>102</v>
      </c>
      <c r="B575" s="66" t="s">
        <v>1171</v>
      </c>
      <c r="C575" s="67"/>
      <c r="D575" s="67"/>
      <c r="E575" s="67"/>
      <c r="F575" s="67"/>
      <c r="G575" s="67"/>
      <c r="H575" s="67"/>
      <c r="I575" s="67"/>
      <c r="J575" s="67"/>
      <c r="K575" s="67"/>
      <c r="L575" s="67"/>
      <c r="M575" s="67"/>
      <c r="N575" s="67"/>
      <c r="O575" s="67"/>
      <c r="P575" s="67"/>
      <c r="Q575" s="68" t="s">
        <v>1172</v>
      </c>
      <c r="R575" s="67"/>
      <c r="S575" s="67"/>
      <c r="T575" s="67"/>
      <c r="U575" s="67"/>
      <c r="V575" s="67"/>
      <c r="W575" s="67"/>
      <c r="X575" s="67"/>
      <c r="Y575" s="67"/>
      <c r="Z575" s="69"/>
      <c r="AA575" s="69"/>
      <c r="AB575" s="69"/>
      <c r="AC575" s="69"/>
      <c r="AD575" s="69"/>
      <c r="AE575" s="69"/>
      <c r="AF575" s="69"/>
      <c r="AG575" s="69"/>
      <c r="AH575" s="69"/>
    </row>
    <row r="576">
      <c r="A576" s="65" t="s">
        <v>102</v>
      </c>
      <c r="B576" s="66" t="s">
        <v>1173</v>
      </c>
      <c r="C576" s="67"/>
      <c r="D576" s="67"/>
      <c r="E576" s="67"/>
      <c r="F576" s="67"/>
      <c r="G576" s="67"/>
      <c r="H576" s="67"/>
      <c r="I576" s="67"/>
      <c r="J576" s="67"/>
      <c r="K576" s="67"/>
      <c r="L576" s="67"/>
      <c r="M576" s="67"/>
      <c r="N576" s="67"/>
      <c r="O576" s="67"/>
      <c r="P576" s="67"/>
      <c r="Q576" s="68" t="s">
        <v>1174</v>
      </c>
      <c r="R576" s="67"/>
      <c r="S576" s="67"/>
      <c r="T576" s="67"/>
      <c r="U576" s="67"/>
      <c r="V576" s="67"/>
      <c r="W576" s="67"/>
      <c r="X576" s="67"/>
      <c r="Y576" s="67"/>
      <c r="Z576" s="69"/>
      <c r="AA576" s="69"/>
      <c r="AB576" s="69"/>
      <c r="AC576" s="69"/>
      <c r="AD576" s="69"/>
      <c r="AE576" s="69"/>
      <c r="AF576" s="69"/>
      <c r="AG576" s="69"/>
      <c r="AH576" s="69"/>
    </row>
    <row r="577">
      <c r="A577" s="65" t="s">
        <v>102</v>
      </c>
      <c r="B577" s="66" t="s">
        <v>1175</v>
      </c>
      <c r="C577" s="67"/>
      <c r="D577" s="67"/>
      <c r="E577" s="67"/>
      <c r="F577" s="67"/>
      <c r="G577" s="67"/>
      <c r="H577" s="67"/>
      <c r="I577" s="67"/>
      <c r="J577" s="67"/>
      <c r="K577" s="67"/>
      <c r="L577" s="67"/>
      <c r="M577" s="67"/>
      <c r="N577" s="67"/>
      <c r="O577" s="67"/>
      <c r="P577" s="67"/>
      <c r="Q577" s="68" t="s">
        <v>1176</v>
      </c>
      <c r="R577" s="67"/>
      <c r="S577" s="67"/>
      <c r="T577" s="67"/>
      <c r="U577" s="67"/>
      <c r="V577" s="67"/>
      <c r="W577" s="67"/>
      <c r="X577" s="67"/>
      <c r="Y577" s="67"/>
      <c r="Z577" s="69"/>
      <c r="AA577" s="69"/>
      <c r="AB577" s="69"/>
      <c r="AC577" s="69"/>
      <c r="AD577" s="69"/>
      <c r="AE577" s="69"/>
      <c r="AF577" s="69"/>
      <c r="AG577" s="69"/>
      <c r="AH577" s="69"/>
    </row>
    <row r="578">
      <c r="A578" s="65" t="s">
        <v>102</v>
      </c>
      <c r="B578" s="66" t="s">
        <v>1177</v>
      </c>
      <c r="C578" s="67"/>
      <c r="D578" s="67"/>
      <c r="E578" s="67"/>
      <c r="F578" s="67"/>
      <c r="G578" s="67"/>
      <c r="H578" s="67"/>
      <c r="I578" s="67"/>
      <c r="J578" s="67"/>
      <c r="K578" s="67"/>
      <c r="L578" s="67"/>
      <c r="M578" s="67"/>
      <c r="N578" s="67"/>
      <c r="O578" s="67"/>
      <c r="P578" s="67"/>
      <c r="Q578" s="68" t="s">
        <v>1178</v>
      </c>
      <c r="R578" s="67"/>
      <c r="S578" s="67"/>
      <c r="T578" s="67"/>
      <c r="U578" s="67"/>
      <c r="V578" s="67"/>
      <c r="W578" s="67"/>
      <c r="X578" s="67"/>
      <c r="Y578" s="67"/>
      <c r="Z578" s="69"/>
      <c r="AA578" s="69"/>
      <c r="AB578" s="69"/>
      <c r="AC578" s="69"/>
      <c r="AD578" s="69"/>
      <c r="AE578" s="69"/>
      <c r="AF578" s="69"/>
      <c r="AG578" s="69"/>
      <c r="AH578" s="69"/>
    </row>
    <row r="579">
      <c r="A579" s="65" t="s">
        <v>102</v>
      </c>
      <c r="B579" s="66" t="s">
        <v>1179</v>
      </c>
      <c r="C579" s="67"/>
      <c r="D579" s="67"/>
      <c r="E579" s="67"/>
      <c r="F579" s="67"/>
      <c r="G579" s="67"/>
      <c r="H579" s="67"/>
      <c r="I579" s="67"/>
      <c r="J579" s="67"/>
      <c r="K579" s="67"/>
      <c r="L579" s="67"/>
      <c r="M579" s="67"/>
      <c r="N579" s="67"/>
      <c r="O579" s="67"/>
      <c r="P579" s="67"/>
      <c r="Q579" s="68" t="s">
        <v>1180</v>
      </c>
      <c r="R579" s="67"/>
      <c r="S579" s="67"/>
      <c r="T579" s="67"/>
      <c r="U579" s="67"/>
      <c r="V579" s="67"/>
      <c r="W579" s="67"/>
      <c r="X579" s="67"/>
      <c r="Y579" s="67"/>
      <c r="Z579" s="69"/>
      <c r="AA579" s="69"/>
      <c r="AB579" s="69"/>
      <c r="AC579" s="69"/>
      <c r="AD579" s="69"/>
      <c r="AE579" s="69"/>
      <c r="AF579" s="69"/>
      <c r="AG579" s="69"/>
      <c r="AH579" s="69"/>
    </row>
    <row r="580">
      <c r="A580" s="65" t="s">
        <v>102</v>
      </c>
      <c r="B580" s="66" t="s">
        <v>1181</v>
      </c>
      <c r="C580" s="67"/>
      <c r="D580" s="67"/>
      <c r="E580" s="67"/>
      <c r="F580" s="67"/>
      <c r="G580" s="67"/>
      <c r="H580" s="67"/>
      <c r="I580" s="67"/>
      <c r="J580" s="67"/>
      <c r="K580" s="67"/>
      <c r="L580" s="67"/>
      <c r="M580" s="67"/>
      <c r="N580" s="67"/>
      <c r="O580" s="67"/>
      <c r="P580" s="67"/>
      <c r="Q580" s="68" t="s">
        <v>1182</v>
      </c>
      <c r="R580" s="67"/>
      <c r="S580" s="67"/>
      <c r="T580" s="67"/>
      <c r="U580" s="67"/>
      <c r="V580" s="67"/>
      <c r="W580" s="67"/>
      <c r="X580" s="67"/>
      <c r="Y580" s="67"/>
      <c r="Z580" s="69"/>
      <c r="AA580" s="69"/>
      <c r="AB580" s="69"/>
      <c r="AC580" s="69"/>
      <c r="AD580" s="69"/>
      <c r="AE580" s="69"/>
      <c r="AF580" s="69"/>
      <c r="AG580" s="69"/>
      <c r="AH580" s="69"/>
    </row>
    <row r="581">
      <c r="A581" s="65" t="s">
        <v>102</v>
      </c>
      <c r="B581" s="66" t="s">
        <v>1183</v>
      </c>
      <c r="C581" s="67"/>
      <c r="D581" s="67"/>
      <c r="E581" s="67"/>
      <c r="F581" s="67"/>
      <c r="G581" s="67"/>
      <c r="H581" s="67"/>
      <c r="I581" s="67"/>
      <c r="J581" s="67"/>
      <c r="K581" s="67"/>
      <c r="L581" s="67"/>
      <c r="M581" s="67"/>
      <c r="N581" s="67"/>
      <c r="O581" s="67"/>
      <c r="P581" s="68"/>
      <c r="Q581" s="68" t="s">
        <v>1184</v>
      </c>
      <c r="R581" s="67"/>
      <c r="S581" s="67"/>
      <c r="T581" s="67"/>
      <c r="U581" s="67"/>
      <c r="V581" s="67"/>
      <c r="W581" s="67"/>
      <c r="X581" s="67"/>
      <c r="Y581" s="67"/>
      <c r="Z581" s="69"/>
      <c r="AA581" s="69"/>
      <c r="AB581" s="69"/>
      <c r="AC581" s="69"/>
      <c r="AD581" s="69"/>
      <c r="AE581" s="69"/>
      <c r="AF581" s="69"/>
      <c r="AG581" s="69"/>
      <c r="AH581" s="69"/>
    </row>
    <row r="582">
      <c r="A582" s="65" t="s">
        <v>102</v>
      </c>
      <c r="B582" s="66" t="s">
        <v>1185</v>
      </c>
      <c r="C582" s="67"/>
      <c r="D582" s="67"/>
      <c r="E582" s="67"/>
      <c r="F582" s="67"/>
      <c r="G582" s="67"/>
      <c r="H582" s="67"/>
      <c r="I582" s="67"/>
      <c r="J582" s="67"/>
      <c r="K582" s="67"/>
      <c r="L582" s="67"/>
      <c r="M582" s="67"/>
      <c r="N582" s="67"/>
      <c r="O582" s="67"/>
      <c r="P582" s="67"/>
      <c r="Q582" s="68" t="s">
        <v>1186</v>
      </c>
      <c r="R582" s="67"/>
      <c r="S582" s="67"/>
      <c r="T582" s="67"/>
      <c r="U582" s="67"/>
      <c r="V582" s="67"/>
      <c r="W582" s="67"/>
      <c r="X582" s="67"/>
      <c r="Y582" s="67"/>
      <c r="Z582" s="69"/>
      <c r="AA582" s="69"/>
      <c r="AB582" s="69"/>
      <c r="AC582" s="69"/>
      <c r="AD582" s="69"/>
      <c r="AE582" s="69"/>
      <c r="AF582" s="69"/>
      <c r="AG582" s="69"/>
      <c r="AH582" s="69"/>
    </row>
    <row r="583">
      <c r="A583" s="65" t="s">
        <v>102</v>
      </c>
      <c r="B583" s="66" t="s">
        <v>1187</v>
      </c>
      <c r="C583" s="67"/>
      <c r="D583" s="67"/>
      <c r="E583" s="67"/>
      <c r="F583" s="67"/>
      <c r="G583" s="67"/>
      <c r="H583" s="67"/>
      <c r="I583" s="67"/>
      <c r="J583" s="67"/>
      <c r="K583" s="67"/>
      <c r="L583" s="67"/>
      <c r="M583" s="67"/>
      <c r="N583" s="67"/>
      <c r="O583" s="67"/>
      <c r="P583" s="67"/>
      <c r="Q583" s="68" t="s">
        <v>1188</v>
      </c>
      <c r="R583" s="67"/>
      <c r="S583" s="67"/>
      <c r="T583" s="67"/>
      <c r="U583" s="67"/>
      <c r="V583" s="67"/>
      <c r="W583" s="67"/>
      <c r="X583" s="67"/>
      <c r="Y583" s="67"/>
      <c r="Z583" s="69"/>
      <c r="AA583" s="69"/>
      <c r="AB583" s="69"/>
      <c r="AC583" s="69"/>
      <c r="AD583" s="69"/>
      <c r="AE583" s="69"/>
      <c r="AF583" s="69"/>
      <c r="AG583" s="69"/>
      <c r="AH583" s="69"/>
    </row>
    <row r="584">
      <c r="A584" s="65" t="s">
        <v>102</v>
      </c>
      <c r="B584" s="66" t="s">
        <v>1189</v>
      </c>
      <c r="C584" s="67"/>
      <c r="D584" s="67"/>
      <c r="E584" s="67"/>
      <c r="F584" s="67"/>
      <c r="G584" s="67"/>
      <c r="H584" s="67"/>
      <c r="I584" s="67"/>
      <c r="J584" s="67"/>
      <c r="K584" s="67"/>
      <c r="L584" s="67"/>
      <c r="M584" s="67"/>
      <c r="N584" s="67"/>
      <c r="O584" s="67"/>
      <c r="P584" s="67"/>
      <c r="Q584" s="68" t="s">
        <v>1190</v>
      </c>
      <c r="R584" s="67"/>
      <c r="S584" s="67"/>
      <c r="T584" s="67"/>
      <c r="U584" s="67"/>
      <c r="V584" s="67"/>
      <c r="W584" s="67"/>
      <c r="X584" s="67"/>
      <c r="Y584" s="67"/>
      <c r="Z584" s="69"/>
      <c r="AA584" s="69"/>
      <c r="AB584" s="69"/>
      <c r="AC584" s="69"/>
      <c r="AD584" s="69"/>
      <c r="AE584" s="69"/>
      <c r="AF584" s="69"/>
      <c r="AG584" s="69"/>
      <c r="AH584" s="69"/>
    </row>
    <row r="585">
      <c r="A585" s="65" t="s">
        <v>102</v>
      </c>
      <c r="B585" s="66" t="s">
        <v>1191</v>
      </c>
      <c r="C585" s="67"/>
      <c r="D585" s="67"/>
      <c r="E585" s="67"/>
      <c r="F585" s="67"/>
      <c r="G585" s="67"/>
      <c r="H585" s="67"/>
      <c r="I585" s="67"/>
      <c r="J585" s="67"/>
      <c r="K585" s="67"/>
      <c r="L585" s="67"/>
      <c r="M585" s="67"/>
      <c r="N585" s="67"/>
      <c r="O585" s="67"/>
      <c r="P585" s="68"/>
      <c r="Q585" s="68" t="s">
        <v>1192</v>
      </c>
      <c r="R585" s="67"/>
      <c r="S585" s="67"/>
      <c r="T585" s="67"/>
      <c r="U585" s="67"/>
      <c r="V585" s="67"/>
      <c r="W585" s="67"/>
      <c r="X585" s="67"/>
      <c r="Y585" s="67"/>
      <c r="Z585" s="69"/>
      <c r="AA585" s="69"/>
      <c r="AB585" s="69"/>
      <c r="AC585" s="69"/>
      <c r="AD585" s="69"/>
      <c r="AE585" s="69"/>
      <c r="AF585" s="69"/>
      <c r="AG585" s="69"/>
      <c r="AH585" s="69"/>
    </row>
    <row r="586">
      <c r="A586" s="65" t="s">
        <v>102</v>
      </c>
      <c r="B586" s="66" t="s">
        <v>1193</v>
      </c>
      <c r="C586" s="67"/>
      <c r="D586" s="67"/>
      <c r="E586" s="67"/>
      <c r="F586" s="67"/>
      <c r="G586" s="67"/>
      <c r="H586" s="67"/>
      <c r="I586" s="67"/>
      <c r="J586" s="67"/>
      <c r="K586" s="67"/>
      <c r="L586" s="67"/>
      <c r="M586" s="67"/>
      <c r="N586" s="67"/>
      <c r="O586" s="67"/>
      <c r="P586" s="67"/>
      <c r="Q586" s="68" t="s">
        <v>1194</v>
      </c>
      <c r="R586" s="67"/>
      <c r="S586" s="67"/>
      <c r="T586" s="67"/>
      <c r="U586" s="67"/>
      <c r="V586" s="67"/>
      <c r="W586" s="67"/>
      <c r="X586" s="67"/>
      <c r="Y586" s="67"/>
      <c r="Z586" s="69"/>
      <c r="AA586" s="69"/>
      <c r="AB586" s="69"/>
      <c r="AC586" s="69"/>
      <c r="AD586" s="69"/>
      <c r="AE586" s="69"/>
      <c r="AF586" s="69"/>
      <c r="AG586" s="69"/>
      <c r="AH586" s="69"/>
    </row>
    <row r="587">
      <c r="A587" s="65" t="s">
        <v>102</v>
      </c>
      <c r="B587" s="66" t="s">
        <v>1195</v>
      </c>
      <c r="C587" s="67"/>
      <c r="D587" s="67"/>
      <c r="E587" s="67"/>
      <c r="F587" s="67"/>
      <c r="G587" s="67"/>
      <c r="H587" s="67"/>
      <c r="I587" s="67"/>
      <c r="J587" s="67"/>
      <c r="K587" s="67"/>
      <c r="L587" s="67"/>
      <c r="M587" s="67"/>
      <c r="N587" s="68"/>
      <c r="O587" s="68"/>
      <c r="P587" s="68"/>
      <c r="Q587" s="68" t="s">
        <v>1196</v>
      </c>
      <c r="R587" s="67"/>
      <c r="S587" s="67"/>
      <c r="T587" s="67"/>
      <c r="U587" s="67"/>
      <c r="V587" s="67"/>
      <c r="W587" s="67"/>
      <c r="X587" s="67"/>
      <c r="Y587" s="67"/>
      <c r="Z587" s="69"/>
      <c r="AA587" s="69"/>
      <c r="AB587" s="69"/>
      <c r="AC587" s="69"/>
      <c r="AD587" s="69"/>
      <c r="AE587" s="69"/>
      <c r="AF587" s="69"/>
      <c r="AG587" s="69"/>
      <c r="AH587" s="69"/>
    </row>
    <row r="588">
      <c r="A588" s="65" t="s">
        <v>102</v>
      </c>
      <c r="B588" s="66" t="s">
        <v>1197</v>
      </c>
      <c r="C588" s="67"/>
      <c r="D588" s="67"/>
      <c r="E588" s="67"/>
      <c r="F588" s="67"/>
      <c r="G588" s="67"/>
      <c r="H588" s="67"/>
      <c r="I588" s="67"/>
      <c r="J588" s="67"/>
      <c r="K588" s="67"/>
      <c r="L588" s="67"/>
      <c r="M588" s="68"/>
      <c r="N588" s="68"/>
      <c r="O588" s="68"/>
      <c r="P588" s="68"/>
      <c r="Q588" s="68" t="s">
        <v>1198</v>
      </c>
      <c r="R588" s="67"/>
      <c r="S588" s="67"/>
      <c r="T588" s="67"/>
      <c r="U588" s="67"/>
      <c r="V588" s="67"/>
      <c r="W588" s="67"/>
      <c r="X588" s="67"/>
      <c r="Y588" s="67"/>
      <c r="Z588" s="69"/>
      <c r="AA588" s="69"/>
      <c r="AB588" s="69"/>
      <c r="AC588" s="69"/>
      <c r="AD588" s="69"/>
      <c r="AE588" s="69"/>
      <c r="AF588" s="69"/>
      <c r="AG588" s="69"/>
      <c r="AH588" s="69"/>
    </row>
    <row r="589">
      <c r="A589" s="65" t="s">
        <v>102</v>
      </c>
      <c r="B589" s="66" t="s">
        <v>1199</v>
      </c>
      <c r="C589" s="67"/>
      <c r="D589" s="67"/>
      <c r="E589" s="67"/>
      <c r="F589" s="67"/>
      <c r="G589" s="67"/>
      <c r="H589" s="67"/>
      <c r="I589" s="67"/>
      <c r="J589" s="67"/>
      <c r="K589" s="67"/>
      <c r="L589" s="67"/>
      <c r="M589" s="68"/>
      <c r="N589" s="68"/>
      <c r="O589" s="68"/>
      <c r="P589" s="68"/>
      <c r="Q589" s="68" t="s">
        <v>1200</v>
      </c>
      <c r="R589" s="67"/>
      <c r="S589" s="67"/>
      <c r="T589" s="67"/>
      <c r="U589" s="67"/>
      <c r="V589" s="67"/>
      <c r="W589" s="67"/>
      <c r="X589" s="67"/>
      <c r="Y589" s="67"/>
      <c r="Z589" s="69"/>
      <c r="AA589" s="69"/>
      <c r="AB589" s="69"/>
      <c r="AC589" s="69"/>
      <c r="AD589" s="69"/>
      <c r="AE589" s="69"/>
      <c r="AF589" s="69"/>
      <c r="AG589" s="69"/>
      <c r="AH589" s="69"/>
    </row>
    <row r="590">
      <c r="A590" s="65" t="s">
        <v>102</v>
      </c>
      <c r="B590" s="66" t="s">
        <v>1201</v>
      </c>
      <c r="C590" s="67"/>
      <c r="D590" s="67"/>
      <c r="E590" s="67"/>
      <c r="F590" s="67"/>
      <c r="G590" s="67"/>
      <c r="H590" s="67"/>
      <c r="I590" s="67"/>
      <c r="J590" s="67"/>
      <c r="K590" s="67"/>
      <c r="L590" s="67"/>
      <c r="M590" s="67"/>
      <c r="N590" s="68"/>
      <c r="O590" s="68"/>
      <c r="P590" s="68"/>
      <c r="Q590" s="68" t="s">
        <v>1202</v>
      </c>
      <c r="R590" s="67"/>
      <c r="S590" s="67"/>
      <c r="T590" s="67"/>
      <c r="U590" s="67"/>
      <c r="V590" s="67"/>
      <c r="W590" s="67"/>
      <c r="X590" s="67"/>
      <c r="Y590" s="67"/>
      <c r="Z590" s="69"/>
      <c r="AA590" s="69"/>
      <c r="AB590" s="69"/>
      <c r="AC590" s="69"/>
      <c r="AD590" s="69"/>
      <c r="AE590" s="69"/>
      <c r="AF590" s="69"/>
      <c r="AG590" s="69"/>
      <c r="AH590" s="69"/>
    </row>
    <row r="591">
      <c r="A591" s="65" t="s">
        <v>102</v>
      </c>
      <c r="B591" s="66" t="s">
        <v>1203</v>
      </c>
      <c r="C591" s="67"/>
      <c r="D591" s="67"/>
      <c r="E591" s="67"/>
      <c r="F591" s="67"/>
      <c r="G591" s="67"/>
      <c r="H591" s="67"/>
      <c r="I591" s="67"/>
      <c r="J591" s="67"/>
      <c r="K591" s="67"/>
      <c r="L591" s="67"/>
      <c r="M591" s="67"/>
      <c r="N591" s="68"/>
      <c r="O591" s="68"/>
      <c r="P591" s="68"/>
      <c r="Q591" s="68" t="s">
        <v>1204</v>
      </c>
      <c r="R591" s="67"/>
      <c r="S591" s="67"/>
      <c r="T591" s="67"/>
      <c r="U591" s="67"/>
      <c r="V591" s="67"/>
      <c r="W591" s="67"/>
      <c r="X591" s="67"/>
      <c r="Y591" s="67"/>
      <c r="Z591" s="69"/>
      <c r="AA591" s="69"/>
      <c r="AB591" s="69"/>
      <c r="AC591" s="69"/>
      <c r="AD591" s="69"/>
      <c r="AE591" s="69"/>
      <c r="AF591" s="69"/>
      <c r="AG591" s="69"/>
      <c r="AH591" s="69"/>
    </row>
    <row r="592">
      <c r="A592" s="65" t="s">
        <v>102</v>
      </c>
      <c r="B592" s="66" t="s">
        <v>1205</v>
      </c>
      <c r="C592" s="67"/>
      <c r="D592" s="67"/>
      <c r="E592" s="67"/>
      <c r="F592" s="67"/>
      <c r="G592" s="67"/>
      <c r="H592" s="67"/>
      <c r="I592" s="67"/>
      <c r="J592" s="67"/>
      <c r="K592" s="67"/>
      <c r="L592" s="67"/>
      <c r="M592" s="68"/>
      <c r="N592" s="68"/>
      <c r="O592" s="68"/>
      <c r="P592" s="68"/>
      <c r="Q592" s="68" t="s">
        <v>1206</v>
      </c>
      <c r="R592" s="67"/>
      <c r="S592" s="67"/>
      <c r="T592" s="67"/>
      <c r="U592" s="67"/>
      <c r="V592" s="67"/>
      <c r="W592" s="67"/>
      <c r="X592" s="67"/>
      <c r="Y592" s="67"/>
      <c r="Z592" s="69"/>
      <c r="AA592" s="69"/>
      <c r="AB592" s="69"/>
      <c r="AC592" s="69"/>
      <c r="AD592" s="69"/>
      <c r="AE592" s="69"/>
      <c r="AF592" s="69"/>
      <c r="AG592" s="69"/>
      <c r="AH592" s="69"/>
    </row>
    <row r="593">
      <c r="A593" s="65" t="s">
        <v>102</v>
      </c>
      <c r="B593" s="66" t="s">
        <v>1207</v>
      </c>
      <c r="C593" s="67"/>
      <c r="D593" s="67"/>
      <c r="E593" s="67"/>
      <c r="F593" s="67"/>
      <c r="G593" s="67"/>
      <c r="H593" s="67"/>
      <c r="I593" s="67"/>
      <c r="J593" s="67"/>
      <c r="K593" s="68"/>
      <c r="L593" s="68"/>
      <c r="M593" s="68"/>
      <c r="N593" s="68"/>
      <c r="O593" s="68"/>
      <c r="P593" s="68"/>
      <c r="Q593" s="68" t="s">
        <v>1208</v>
      </c>
      <c r="R593" s="67"/>
      <c r="S593" s="67"/>
      <c r="T593" s="67"/>
      <c r="U593" s="67"/>
      <c r="V593" s="67"/>
      <c r="W593" s="67"/>
      <c r="X593" s="67"/>
      <c r="Y593" s="67"/>
      <c r="Z593" s="69"/>
      <c r="AA593" s="69"/>
      <c r="AB593" s="69"/>
      <c r="AC593" s="69"/>
      <c r="AD593" s="69"/>
      <c r="AE593" s="69"/>
      <c r="AF593" s="69"/>
      <c r="AG593" s="69"/>
      <c r="AH593" s="69"/>
    </row>
    <row r="594">
      <c r="A594" s="65" t="s">
        <v>102</v>
      </c>
      <c r="B594" s="66" t="s">
        <v>1209</v>
      </c>
      <c r="C594" s="67"/>
      <c r="D594" s="67"/>
      <c r="E594" s="67"/>
      <c r="F594" s="67"/>
      <c r="G594" s="67"/>
      <c r="H594" s="67"/>
      <c r="I594" s="67"/>
      <c r="J594" s="67"/>
      <c r="K594" s="68"/>
      <c r="L594" s="68"/>
      <c r="M594" s="68"/>
      <c r="N594" s="68"/>
      <c r="O594" s="68"/>
      <c r="P594" s="67"/>
      <c r="Q594" s="68" t="s">
        <v>1210</v>
      </c>
      <c r="R594" s="67"/>
      <c r="S594" s="67"/>
      <c r="T594" s="67"/>
      <c r="U594" s="67"/>
      <c r="V594" s="67"/>
      <c r="W594" s="67"/>
      <c r="X594" s="67"/>
      <c r="Y594" s="67"/>
      <c r="Z594" s="69"/>
      <c r="AA594" s="69"/>
      <c r="AB594" s="69"/>
      <c r="AC594" s="69"/>
      <c r="AD594" s="69"/>
      <c r="AE594" s="69"/>
      <c r="AF594" s="69"/>
      <c r="AG594" s="69"/>
      <c r="AH594" s="69"/>
    </row>
    <row r="595">
      <c r="A595" s="65" t="s">
        <v>102</v>
      </c>
      <c r="B595" s="66" t="s">
        <v>1211</v>
      </c>
      <c r="C595" s="67"/>
      <c r="D595" s="67"/>
      <c r="E595" s="67"/>
      <c r="F595" s="67"/>
      <c r="G595" s="67"/>
      <c r="H595" s="67"/>
      <c r="I595" s="67"/>
      <c r="J595" s="67"/>
      <c r="K595" s="68"/>
      <c r="L595" s="68"/>
      <c r="M595" s="68"/>
      <c r="N595" s="68"/>
      <c r="O595" s="68"/>
      <c r="P595" s="67"/>
      <c r="Q595" s="68" t="s">
        <v>1212</v>
      </c>
      <c r="R595" s="67"/>
      <c r="S595" s="67"/>
      <c r="T595" s="67"/>
      <c r="U595" s="67"/>
      <c r="V595" s="67"/>
      <c r="W595" s="67"/>
      <c r="X595" s="67"/>
      <c r="Y595" s="67"/>
      <c r="Z595" s="69"/>
      <c r="AA595" s="69"/>
      <c r="AB595" s="69"/>
      <c r="AC595" s="69"/>
      <c r="AD595" s="69"/>
      <c r="AE595" s="69"/>
      <c r="AF595" s="69"/>
      <c r="AG595" s="69"/>
      <c r="AH595" s="69"/>
    </row>
    <row r="596">
      <c r="A596" s="65" t="s">
        <v>102</v>
      </c>
      <c r="B596" s="66" t="s">
        <v>1213</v>
      </c>
      <c r="C596" s="67"/>
      <c r="D596" s="67"/>
      <c r="E596" s="67"/>
      <c r="F596" s="67"/>
      <c r="G596" s="67"/>
      <c r="H596" s="67"/>
      <c r="I596" s="67"/>
      <c r="J596" s="67"/>
      <c r="K596" s="68"/>
      <c r="L596" s="68"/>
      <c r="M596" s="68"/>
      <c r="N596" s="68"/>
      <c r="O596" s="68"/>
      <c r="P596" s="67"/>
      <c r="Q596" s="68" t="s">
        <v>1214</v>
      </c>
      <c r="R596" s="67"/>
      <c r="S596" s="67"/>
      <c r="T596" s="67"/>
      <c r="U596" s="67"/>
      <c r="V596" s="67"/>
      <c r="W596" s="67"/>
      <c r="X596" s="67"/>
      <c r="Y596" s="67"/>
      <c r="Z596" s="69"/>
      <c r="AA596" s="69"/>
      <c r="AB596" s="69"/>
      <c r="AC596" s="69"/>
      <c r="AD596" s="69"/>
      <c r="AE596" s="69"/>
      <c r="AF596" s="69"/>
      <c r="AG596" s="69"/>
      <c r="AH596" s="69"/>
    </row>
    <row r="597">
      <c r="A597" s="65" t="s">
        <v>102</v>
      </c>
      <c r="B597" s="66" t="s">
        <v>1215</v>
      </c>
      <c r="C597" s="67"/>
      <c r="D597" s="67"/>
      <c r="E597" s="67"/>
      <c r="F597" s="67"/>
      <c r="G597" s="67"/>
      <c r="H597" s="67"/>
      <c r="I597" s="67"/>
      <c r="J597" s="67"/>
      <c r="K597" s="68"/>
      <c r="L597" s="68"/>
      <c r="M597" s="68"/>
      <c r="N597" s="68"/>
      <c r="O597" s="68"/>
      <c r="P597" s="68"/>
      <c r="Q597" s="68" t="s">
        <v>1216</v>
      </c>
      <c r="R597" s="67"/>
      <c r="S597" s="67"/>
      <c r="T597" s="67"/>
      <c r="U597" s="67"/>
      <c r="V597" s="67"/>
      <c r="W597" s="67"/>
      <c r="X597" s="67"/>
      <c r="Y597" s="67"/>
      <c r="Z597" s="69"/>
      <c r="AA597" s="69"/>
      <c r="AB597" s="69"/>
      <c r="AC597" s="69"/>
      <c r="AD597" s="69"/>
      <c r="AE597" s="69"/>
      <c r="AF597" s="69"/>
      <c r="AG597" s="69"/>
      <c r="AH597" s="69"/>
    </row>
    <row r="598">
      <c r="A598" s="65" t="s">
        <v>102</v>
      </c>
      <c r="B598" s="66" t="s">
        <v>1217</v>
      </c>
      <c r="C598" s="67"/>
      <c r="D598" s="67"/>
      <c r="E598" s="67"/>
      <c r="F598" s="67"/>
      <c r="G598" s="67"/>
      <c r="H598" s="67"/>
      <c r="I598" s="67"/>
      <c r="J598" s="67"/>
      <c r="K598" s="67"/>
      <c r="L598" s="67"/>
      <c r="M598" s="67"/>
      <c r="N598" s="67"/>
      <c r="O598" s="67"/>
      <c r="P598" s="67"/>
      <c r="Q598" s="68" t="s">
        <v>1218</v>
      </c>
      <c r="R598" s="67"/>
      <c r="S598" s="67"/>
      <c r="T598" s="67"/>
      <c r="U598" s="67"/>
      <c r="V598" s="67"/>
      <c r="W598" s="67"/>
      <c r="X598" s="67"/>
      <c r="Y598" s="67"/>
      <c r="Z598" s="69"/>
      <c r="AA598" s="69"/>
      <c r="AB598" s="69"/>
      <c r="AC598" s="69"/>
      <c r="AD598" s="69"/>
      <c r="AE598" s="69"/>
      <c r="AF598" s="69"/>
      <c r="AG598" s="69"/>
      <c r="AH598" s="69"/>
    </row>
    <row r="599">
      <c r="A599" s="65" t="s">
        <v>102</v>
      </c>
      <c r="B599" s="66" t="s">
        <v>1219</v>
      </c>
      <c r="C599" s="67"/>
      <c r="D599" s="67"/>
      <c r="E599" s="67"/>
      <c r="F599" s="67"/>
      <c r="G599" s="67"/>
      <c r="H599" s="67"/>
      <c r="I599" s="67"/>
      <c r="J599" s="67"/>
      <c r="K599" s="67"/>
      <c r="L599" s="67"/>
      <c r="M599" s="67"/>
      <c r="N599" s="67"/>
      <c r="O599" s="67"/>
      <c r="P599" s="68"/>
      <c r="Q599" s="68" t="s">
        <v>1220</v>
      </c>
      <c r="R599" s="67"/>
      <c r="S599" s="67"/>
      <c r="T599" s="67"/>
      <c r="U599" s="67"/>
      <c r="V599" s="67"/>
      <c r="W599" s="67"/>
      <c r="X599" s="67"/>
      <c r="Y599" s="67"/>
      <c r="Z599" s="69"/>
      <c r="AA599" s="69"/>
      <c r="AB599" s="69"/>
      <c r="AC599" s="69"/>
      <c r="AD599" s="69"/>
      <c r="AE599" s="69"/>
      <c r="AF599" s="69"/>
      <c r="AG599" s="69"/>
      <c r="AH599" s="69"/>
    </row>
    <row r="600">
      <c r="A600" s="65" t="s">
        <v>102</v>
      </c>
      <c r="B600" s="66" t="s">
        <v>1221</v>
      </c>
      <c r="C600" s="67"/>
      <c r="D600" s="67"/>
      <c r="E600" s="67"/>
      <c r="F600" s="67"/>
      <c r="G600" s="67"/>
      <c r="H600" s="67"/>
      <c r="I600" s="67"/>
      <c r="J600" s="67"/>
      <c r="K600" s="67"/>
      <c r="L600" s="67"/>
      <c r="M600" s="67"/>
      <c r="N600" s="67"/>
      <c r="O600" s="68"/>
      <c r="P600" s="68"/>
      <c r="Q600" s="68" t="s">
        <v>1222</v>
      </c>
      <c r="R600" s="67"/>
      <c r="S600" s="67"/>
      <c r="T600" s="67"/>
      <c r="U600" s="67"/>
      <c r="V600" s="67"/>
      <c r="W600" s="67"/>
      <c r="X600" s="67"/>
      <c r="Y600" s="67"/>
      <c r="Z600" s="69"/>
      <c r="AA600" s="69"/>
      <c r="AB600" s="69"/>
      <c r="AC600" s="69"/>
      <c r="AD600" s="69"/>
      <c r="AE600" s="69"/>
      <c r="AF600" s="69"/>
      <c r="AG600" s="69"/>
      <c r="AH600" s="69"/>
    </row>
    <row r="601">
      <c r="A601" s="65" t="s">
        <v>102</v>
      </c>
      <c r="B601" s="66" t="s">
        <v>1223</v>
      </c>
      <c r="C601" s="67"/>
      <c r="D601" s="67"/>
      <c r="E601" s="67"/>
      <c r="F601" s="67"/>
      <c r="G601" s="67"/>
      <c r="H601" s="67"/>
      <c r="I601" s="67"/>
      <c r="J601" s="67"/>
      <c r="K601" s="67"/>
      <c r="L601" s="67"/>
      <c r="M601" s="67"/>
      <c r="N601" s="67"/>
      <c r="O601" s="68"/>
      <c r="P601" s="68"/>
      <c r="Q601" s="68" t="s">
        <v>1224</v>
      </c>
      <c r="R601" s="67"/>
      <c r="S601" s="67"/>
      <c r="T601" s="67"/>
      <c r="U601" s="67"/>
      <c r="V601" s="67"/>
      <c r="W601" s="67"/>
      <c r="X601" s="67"/>
      <c r="Y601" s="67"/>
      <c r="Z601" s="69"/>
      <c r="AA601" s="69"/>
      <c r="AB601" s="69"/>
      <c r="AC601" s="69"/>
      <c r="AD601" s="69"/>
      <c r="AE601" s="69"/>
      <c r="AF601" s="69"/>
      <c r="AG601" s="69"/>
      <c r="AH601" s="69"/>
    </row>
    <row r="602">
      <c r="A602" s="65" t="s">
        <v>102</v>
      </c>
      <c r="B602" s="66" t="s">
        <v>1225</v>
      </c>
      <c r="C602" s="67"/>
      <c r="D602" s="67"/>
      <c r="E602" s="67"/>
      <c r="F602" s="67"/>
      <c r="G602" s="67"/>
      <c r="H602" s="67"/>
      <c r="I602" s="67"/>
      <c r="J602" s="67"/>
      <c r="K602" s="67"/>
      <c r="L602" s="67"/>
      <c r="M602" s="67"/>
      <c r="N602" s="67"/>
      <c r="O602" s="68"/>
      <c r="P602" s="68"/>
      <c r="Q602" s="68" t="s">
        <v>1226</v>
      </c>
      <c r="R602" s="67"/>
      <c r="S602" s="67"/>
      <c r="T602" s="67"/>
      <c r="U602" s="67"/>
      <c r="V602" s="67"/>
      <c r="W602" s="67"/>
      <c r="X602" s="67"/>
      <c r="Y602" s="67"/>
      <c r="Z602" s="69"/>
      <c r="AA602" s="69"/>
      <c r="AB602" s="69"/>
      <c r="AC602" s="69"/>
      <c r="AD602" s="69"/>
      <c r="AE602" s="69"/>
      <c r="AF602" s="69"/>
      <c r="AG602" s="69"/>
      <c r="AH602" s="69"/>
    </row>
    <row r="603">
      <c r="A603" s="65" t="s">
        <v>102</v>
      </c>
      <c r="B603" s="66" t="s">
        <v>1227</v>
      </c>
      <c r="C603" s="67"/>
      <c r="D603" s="67"/>
      <c r="E603" s="67"/>
      <c r="F603" s="67"/>
      <c r="G603" s="67"/>
      <c r="H603" s="67"/>
      <c r="I603" s="67"/>
      <c r="J603" s="67"/>
      <c r="K603" s="67"/>
      <c r="L603" s="67"/>
      <c r="M603" s="67"/>
      <c r="N603" s="68"/>
      <c r="O603" s="68"/>
      <c r="P603" s="68"/>
      <c r="Q603" s="68" t="s">
        <v>1228</v>
      </c>
      <c r="R603" s="67"/>
      <c r="S603" s="67"/>
      <c r="T603" s="67"/>
      <c r="U603" s="67"/>
      <c r="V603" s="67"/>
      <c r="W603" s="67"/>
      <c r="X603" s="67"/>
      <c r="Y603" s="67"/>
      <c r="Z603" s="69"/>
      <c r="AA603" s="69"/>
      <c r="AB603" s="69"/>
      <c r="AC603" s="69"/>
      <c r="AD603" s="69"/>
      <c r="AE603" s="69"/>
      <c r="AF603" s="69"/>
      <c r="AG603" s="69"/>
      <c r="AH603" s="69"/>
    </row>
    <row r="604">
      <c r="A604" s="65" t="s">
        <v>102</v>
      </c>
      <c r="B604" s="66" t="s">
        <v>1229</v>
      </c>
      <c r="C604" s="67"/>
      <c r="D604" s="67"/>
      <c r="E604" s="67"/>
      <c r="F604" s="67"/>
      <c r="G604" s="67"/>
      <c r="H604" s="67"/>
      <c r="I604" s="67"/>
      <c r="J604" s="67"/>
      <c r="K604" s="67"/>
      <c r="L604" s="67"/>
      <c r="M604" s="67"/>
      <c r="N604" s="68"/>
      <c r="O604" s="68"/>
      <c r="P604" s="68"/>
      <c r="Q604" s="68" t="s">
        <v>1230</v>
      </c>
      <c r="R604" s="67"/>
      <c r="S604" s="67"/>
      <c r="T604" s="67"/>
      <c r="U604" s="67"/>
      <c r="V604" s="67"/>
      <c r="W604" s="67"/>
      <c r="X604" s="67"/>
      <c r="Y604" s="67"/>
      <c r="Z604" s="69"/>
      <c r="AA604" s="69"/>
      <c r="AB604" s="69"/>
      <c r="AC604" s="69"/>
      <c r="AD604" s="69"/>
      <c r="AE604" s="69"/>
      <c r="AF604" s="69"/>
      <c r="AG604" s="69"/>
      <c r="AH604" s="69"/>
    </row>
    <row r="605">
      <c r="A605" s="65" t="s">
        <v>102</v>
      </c>
      <c r="B605" s="66" t="s">
        <v>1231</v>
      </c>
      <c r="C605" s="67"/>
      <c r="D605" s="67"/>
      <c r="E605" s="67"/>
      <c r="F605" s="67"/>
      <c r="G605" s="67"/>
      <c r="H605" s="67"/>
      <c r="I605" s="67"/>
      <c r="J605" s="67"/>
      <c r="K605" s="67"/>
      <c r="L605" s="67"/>
      <c r="M605" s="67"/>
      <c r="N605" s="68"/>
      <c r="O605" s="68"/>
      <c r="P605" s="68"/>
      <c r="Q605" s="68" t="s">
        <v>1232</v>
      </c>
      <c r="R605" s="67"/>
      <c r="S605" s="67"/>
      <c r="T605" s="67"/>
      <c r="U605" s="67"/>
      <c r="V605" s="67"/>
      <c r="W605" s="67"/>
      <c r="X605" s="67"/>
      <c r="Y605" s="67"/>
      <c r="Z605" s="69"/>
      <c r="AA605" s="69"/>
      <c r="AB605" s="69"/>
      <c r="AC605" s="69"/>
      <c r="AD605" s="69"/>
      <c r="AE605" s="69"/>
      <c r="AF605" s="69"/>
      <c r="AG605" s="69"/>
      <c r="AH605" s="69"/>
    </row>
    <row r="606">
      <c r="A606" s="65" t="s">
        <v>102</v>
      </c>
      <c r="B606" s="66" t="s">
        <v>1233</v>
      </c>
      <c r="C606" s="67"/>
      <c r="D606" s="67"/>
      <c r="E606" s="67"/>
      <c r="F606" s="67"/>
      <c r="G606" s="67"/>
      <c r="H606" s="67"/>
      <c r="I606" s="67"/>
      <c r="J606" s="67"/>
      <c r="K606" s="67"/>
      <c r="L606" s="67"/>
      <c r="M606" s="67"/>
      <c r="N606" s="68"/>
      <c r="O606" s="68"/>
      <c r="P606" s="68"/>
      <c r="Q606" s="68" t="s">
        <v>1234</v>
      </c>
      <c r="R606" s="67"/>
      <c r="S606" s="67"/>
      <c r="T606" s="67"/>
      <c r="U606" s="67"/>
      <c r="V606" s="67"/>
      <c r="W606" s="67"/>
      <c r="X606" s="67"/>
      <c r="Y606" s="67"/>
      <c r="Z606" s="69"/>
      <c r="AA606" s="69"/>
      <c r="AB606" s="69"/>
      <c r="AC606" s="69"/>
      <c r="AD606" s="69"/>
      <c r="AE606" s="69"/>
      <c r="AF606" s="69"/>
      <c r="AG606" s="69"/>
      <c r="AH606" s="69"/>
    </row>
    <row r="607">
      <c r="A607" s="65" t="s">
        <v>102</v>
      </c>
      <c r="B607" s="66" t="s">
        <v>1235</v>
      </c>
      <c r="C607" s="67"/>
      <c r="D607" s="67"/>
      <c r="E607" s="67"/>
      <c r="F607" s="67"/>
      <c r="G607" s="67"/>
      <c r="H607" s="67"/>
      <c r="I607" s="67"/>
      <c r="J607" s="67"/>
      <c r="K607" s="67"/>
      <c r="L607" s="67"/>
      <c r="M607" s="67"/>
      <c r="N607" s="68"/>
      <c r="O607" s="68"/>
      <c r="P607" s="68"/>
      <c r="Q607" s="68" t="s">
        <v>1236</v>
      </c>
      <c r="R607" s="67"/>
      <c r="S607" s="67"/>
      <c r="T607" s="67"/>
      <c r="U607" s="67"/>
      <c r="V607" s="67"/>
      <c r="W607" s="67"/>
      <c r="X607" s="67"/>
      <c r="Y607" s="67"/>
      <c r="Z607" s="69"/>
      <c r="AA607" s="69"/>
      <c r="AB607" s="69"/>
      <c r="AC607" s="69"/>
      <c r="AD607" s="69"/>
      <c r="AE607" s="69"/>
      <c r="AF607" s="69"/>
      <c r="AG607" s="69"/>
      <c r="AH607" s="69"/>
    </row>
    <row r="608">
      <c r="A608" s="65" t="s">
        <v>102</v>
      </c>
      <c r="B608" s="66" t="s">
        <v>1237</v>
      </c>
      <c r="C608" s="67"/>
      <c r="D608" s="67"/>
      <c r="E608" s="67"/>
      <c r="F608" s="67"/>
      <c r="G608" s="67"/>
      <c r="H608" s="67"/>
      <c r="I608" s="67"/>
      <c r="J608" s="67"/>
      <c r="K608" s="67"/>
      <c r="L608" s="67"/>
      <c r="M608" s="67"/>
      <c r="N608" s="68"/>
      <c r="O608" s="68"/>
      <c r="P608" s="68"/>
      <c r="Q608" s="68" t="s">
        <v>1238</v>
      </c>
      <c r="R608" s="67"/>
      <c r="S608" s="67"/>
      <c r="T608" s="67"/>
      <c r="U608" s="67"/>
      <c r="V608" s="67"/>
      <c r="W608" s="67"/>
      <c r="X608" s="67"/>
      <c r="Y608" s="67"/>
      <c r="Z608" s="69"/>
      <c r="AA608" s="69"/>
      <c r="AB608" s="69"/>
      <c r="AC608" s="69"/>
      <c r="AD608" s="69"/>
      <c r="AE608" s="69"/>
      <c r="AF608" s="69"/>
      <c r="AG608" s="69"/>
      <c r="AH608" s="69"/>
    </row>
    <row r="609">
      <c r="A609" s="65" t="s">
        <v>102</v>
      </c>
      <c r="B609" s="66" t="s">
        <v>1239</v>
      </c>
      <c r="C609" s="67"/>
      <c r="D609" s="67"/>
      <c r="E609" s="67"/>
      <c r="F609" s="67"/>
      <c r="G609" s="67"/>
      <c r="H609" s="67"/>
      <c r="I609" s="67"/>
      <c r="J609" s="67"/>
      <c r="K609" s="67"/>
      <c r="L609" s="67"/>
      <c r="M609" s="68"/>
      <c r="N609" s="68"/>
      <c r="O609" s="68"/>
      <c r="P609" s="68"/>
      <c r="Q609" s="68" t="s">
        <v>1240</v>
      </c>
      <c r="R609" s="67"/>
      <c r="S609" s="67"/>
      <c r="T609" s="67"/>
      <c r="U609" s="67"/>
      <c r="V609" s="67"/>
      <c r="W609" s="67"/>
      <c r="X609" s="67"/>
      <c r="Y609" s="67"/>
      <c r="Z609" s="69"/>
      <c r="AA609" s="69"/>
      <c r="AB609" s="69"/>
      <c r="AC609" s="69"/>
      <c r="AD609" s="69"/>
      <c r="AE609" s="69"/>
      <c r="AF609" s="69"/>
      <c r="AG609" s="69"/>
      <c r="AH609" s="69"/>
    </row>
    <row r="610">
      <c r="A610" s="65" t="s">
        <v>102</v>
      </c>
      <c r="B610" s="66" t="s">
        <v>1241</v>
      </c>
      <c r="C610" s="67"/>
      <c r="D610" s="67"/>
      <c r="E610" s="67"/>
      <c r="F610" s="67"/>
      <c r="G610" s="67"/>
      <c r="H610" s="67"/>
      <c r="I610" s="67"/>
      <c r="J610" s="67"/>
      <c r="K610" s="67"/>
      <c r="L610" s="67"/>
      <c r="M610" s="68"/>
      <c r="N610" s="68"/>
      <c r="O610" s="68"/>
      <c r="P610" s="68"/>
      <c r="Q610" s="68" t="s">
        <v>1242</v>
      </c>
      <c r="R610" s="67"/>
      <c r="S610" s="67"/>
      <c r="T610" s="67"/>
      <c r="U610" s="67"/>
      <c r="V610" s="67"/>
      <c r="W610" s="67"/>
      <c r="X610" s="67"/>
      <c r="Y610" s="67"/>
      <c r="Z610" s="69"/>
      <c r="AA610" s="69"/>
      <c r="AB610" s="69"/>
      <c r="AC610" s="69"/>
      <c r="AD610" s="69"/>
      <c r="AE610" s="69"/>
      <c r="AF610" s="69"/>
      <c r="AG610" s="69"/>
      <c r="AH610" s="69"/>
    </row>
    <row r="611">
      <c r="A611" s="65" t="s">
        <v>102</v>
      </c>
      <c r="B611" s="66" t="s">
        <v>1243</v>
      </c>
      <c r="C611" s="67"/>
      <c r="D611" s="67"/>
      <c r="E611" s="67"/>
      <c r="F611" s="67"/>
      <c r="G611" s="67"/>
      <c r="H611" s="67"/>
      <c r="I611" s="67"/>
      <c r="J611" s="67"/>
      <c r="K611" s="67"/>
      <c r="L611" s="67"/>
      <c r="M611" s="67"/>
      <c r="N611" s="68"/>
      <c r="O611" s="68"/>
      <c r="P611" s="68"/>
      <c r="Q611" s="68" t="s">
        <v>1244</v>
      </c>
      <c r="R611" s="67"/>
      <c r="S611" s="67"/>
      <c r="T611" s="67"/>
      <c r="U611" s="67"/>
      <c r="V611" s="67"/>
      <c r="W611" s="67"/>
      <c r="X611" s="67"/>
      <c r="Y611" s="67"/>
      <c r="Z611" s="69"/>
      <c r="AA611" s="69"/>
      <c r="AB611" s="69"/>
      <c r="AC611" s="69"/>
      <c r="AD611" s="69"/>
      <c r="AE611" s="69"/>
      <c r="AF611" s="69"/>
      <c r="AG611" s="69"/>
      <c r="AH611" s="69"/>
    </row>
    <row r="612">
      <c r="A612" s="65" t="s">
        <v>102</v>
      </c>
      <c r="B612" s="66" t="s">
        <v>1245</v>
      </c>
      <c r="C612" s="67"/>
      <c r="D612" s="67"/>
      <c r="E612" s="67"/>
      <c r="F612" s="67"/>
      <c r="G612" s="67"/>
      <c r="H612" s="67"/>
      <c r="I612" s="67"/>
      <c r="J612" s="67"/>
      <c r="K612" s="67"/>
      <c r="L612" s="67"/>
      <c r="M612" s="68"/>
      <c r="N612" s="68"/>
      <c r="O612" s="68"/>
      <c r="P612" s="68"/>
      <c r="Q612" s="68" t="s">
        <v>1246</v>
      </c>
      <c r="R612" s="67"/>
      <c r="S612" s="67"/>
      <c r="T612" s="67"/>
      <c r="U612" s="67"/>
      <c r="V612" s="67"/>
      <c r="W612" s="67"/>
      <c r="X612" s="67"/>
      <c r="Y612" s="67"/>
      <c r="Z612" s="69"/>
      <c r="AA612" s="69"/>
      <c r="AB612" s="69"/>
      <c r="AC612" s="69"/>
      <c r="AD612" s="69"/>
      <c r="AE612" s="69"/>
      <c r="AF612" s="69"/>
      <c r="AG612" s="69"/>
      <c r="AH612" s="69"/>
    </row>
    <row r="613">
      <c r="A613" s="65" t="s">
        <v>102</v>
      </c>
      <c r="B613" s="66" t="s">
        <v>1247</v>
      </c>
      <c r="C613" s="67"/>
      <c r="D613" s="67"/>
      <c r="E613" s="67"/>
      <c r="F613" s="67"/>
      <c r="G613" s="67"/>
      <c r="H613" s="67"/>
      <c r="I613" s="67"/>
      <c r="J613" s="67"/>
      <c r="K613" s="67"/>
      <c r="L613" s="67"/>
      <c r="M613" s="68"/>
      <c r="N613" s="68"/>
      <c r="O613" s="68"/>
      <c r="P613" s="68"/>
      <c r="Q613" s="68" t="s">
        <v>1248</v>
      </c>
      <c r="R613" s="67"/>
      <c r="S613" s="67"/>
      <c r="T613" s="67"/>
      <c r="U613" s="67"/>
      <c r="V613" s="67"/>
      <c r="W613" s="67"/>
      <c r="X613" s="67"/>
      <c r="Y613" s="67"/>
      <c r="Z613" s="69"/>
      <c r="AA613" s="69"/>
      <c r="AB613" s="69"/>
      <c r="AC613" s="69"/>
      <c r="AD613" s="69"/>
      <c r="AE613" s="69"/>
      <c r="AF613" s="69"/>
      <c r="AG613" s="69"/>
      <c r="AH613" s="69"/>
    </row>
    <row r="614">
      <c r="A614" s="65" t="s">
        <v>102</v>
      </c>
      <c r="B614" s="66" t="s">
        <v>1249</v>
      </c>
      <c r="C614" s="67"/>
      <c r="D614" s="67"/>
      <c r="E614" s="67"/>
      <c r="F614" s="67"/>
      <c r="G614" s="67"/>
      <c r="H614" s="67"/>
      <c r="I614" s="67"/>
      <c r="J614" s="67"/>
      <c r="K614" s="67"/>
      <c r="L614" s="67"/>
      <c r="M614" s="68"/>
      <c r="N614" s="68"/>
      <c r="O614" s="68"/>
      <c r="P614" s="68"/>
      <c r="Q614" s="68" t="s">
        <v>1250</v>
      </c>
      <c r="R614" s="67"/>
      <c r="S614" s="67"/>
      <c r="T614" s="67"/>
      <c r="U614" s="67"/>
      <c r="V614" s="67"/>
      <c r="W614" s="67"/>
      <c r="X614" s="67"/>
      <c r="Y614" s="67"/>
      <c r="Z614" s="69"/>
      <c r="AA614" s="69"/>
      <c r="AB614" s="69"/>
      <c r="AC614" s="69"/>
      <c r="AD614" s="69"/>
      <c r="AE614" s="69"/>
      <c r="AF614" s="69"/>
      <c r="AG614" s="69"/>
      <c r="AH614" s="69"/>
    </row>
    <row r="615">
      <c r="A615" s="65" t="s">
        <v>102</v>
      </c>
      <c r="B615" s="66" t="s">
        <v>1251</v>
      </c>
      <c r="C615" s="67"/>
      <c r="D615" s="67"/>
      <c r="E615" s="67"/>
      <c r="F615" s="67"/>
      <c r="G615" s="67"/>
      <c r="H615" s="67"/>
      <c r="I615" s="67"/>
      <c r="J615" s="67"/>
      <c r="K615" s="67"/>
      <c r="L615" s="67"/>
      <c r="M615" s="68"/>
      <c r="N615" s="68"/>
      <c r="O615" s="68"/>
      <c r="P615" s="68"/>
      <c r="Q615" s="68" t="s">
        <v>1252</v>
      </c>
      <c r="R615" s="67"/>
      <c r="S615" s="67"/>
      <c r="T615" s="67"/>
      <c r="U615" s="67"/>
      <c r="V615" s="67"/>
      <c r="W615" s="67"/>
      <c r="X615" s="67"/>
      <c r="Y615" s="67"/>
      <c r="Z615" s="69"/>
      <c r="AA615" s="69"/>
      <c r="AB615" s="69"/>
      <c r="AC615" s="69"/>
      <c r="AD615" s="69"/>
      <c r="AE615" s="69"/>
      <c r="AF615" s="69"/>
      <c r="AG615" s="69"/>
      <c r="AH615" s="69"/>
    </row>
    <row r="616">
      <c r="A616" s="65" t="s">
        <v>102</v>
      </c>
      <c r="B616" s="66" t="s">
        <v>1253</v>
      </c>
      <c r="C616" s="67"/>
      <c r="D616" s="67"/>
      <c r="E616" s="67"/>
      <c r="F616" s="67"/>
      <c r="G616" s="67"/>
      <c r="H616" s="67"/>
      <c r="I616" s="67"/>
      <c r="J616" s="67"/>
      <c r="K616" s="67"/>
      <c r="L616" s="67"/>
      <c r="M616" s="68"/>
      <c r="N616" s="68"/>
      <c r="O616" s="68"/>
      <c r="P616" s="68"/>
      <c r="Q616" s="68" t="s">
        <v>1254</v>
      </c>
      <c r="R616" s="67"/>
      <c r="S616" s="67"/>
      <c r="T616" s="67"/>
      <c r="U616" s="67"/>
      <c r="V616" s="67"/>
      <c r="W616" s="67"/>
      <c r="X616" s="67"/>
      <c r="Y616" s="67"/>
      <c r="Z616" s="69"/>
      <c r="AA616" s="69"/>
      <c r="AB616" s="69"/>
      <c r="AC616" s="69"/>
      <c r="AD616" s="69"/>
      <c r="AE616" s="69"/>
      <c r="AF616" s="69"/>
      <c r="AG616" s="69"/>
      <c r="AH616" s="69"/>
    </row>
    <row r="617">
      <c r="A617" s="65" t="s">
        <v>102</v>
      </c>
      <c r="B617" s="66" t="s">
        <v>1255</v>
      </c>
      <c r="C617" s="67"/>
      <c r="D617" s="67"/>
      <c r="E617" s="67"/>
      <c r="F617" s="67"/>
      <c r="G617" s="67"/>
      <c r="H617" s="67"/>
      <c r="I617" s="67"/>
      <c r="J617" s="67"/>
      <c r="K617" s="68"/>
      <c r="L617" s="68"/>
      <c r="M617" s="68"/>
      <c r="N617" s="68"/>
      <c r="O617" s="68"/>
      <c r="P617" s="68"/>
      <c r="Q617" s="68" t="s">
        <v>1256</v>
      </c>
      <c r="R617" s="67"/>
      <c r="S617" s="67"/>
      <c r="T617" s="67"/>
      <c r="U617" s="67"/>
      <c r="V617" s="67"/>
      <c r="W617" s="67"/>
      <c r="X617" s="67"/>
      <c r="Y617" s="67"/>
      <c r="Z617" s="69"/>
      <c r="AA617" s="69"/>
      <c r="AB617" s="69"/>
      <c r="AC617" s="69"/>
      <c r="AD617" s="69"/>
      <c r="AE617" s="69"/>
      <c r="AF617" s="69"/>
      <c r="AG617" s="69"/>
      <c r="AH617" s="69"/>
    </row>
    <row r="618">
      <c r="A618" s="65" t="s">
        <v>102</v>
      </c>
      <c r="B618" s="66" t="s">
        <v>1257</v>
      </c>
      <c r="C618" s="67"/>
      <c r="D618" s="67"/>
      <c r="E618" s="67"/>
      <c r="F618" s="67"/>
      <c r="G618" s="67"/>
      <c r="H618" s="67"/>
      <c r="I618" s="67"/>
      <c r="J618" s="67"/>
      <c r="K618" s="67"/>
      <c r="L618" s="67"/>
      <c r="M618" s="68"/>
      <c r="N618" s="68"/>
      <c r="O618" s="68"/>
      <c r="P618" s="68"/>
      <c r="Q618" s="68" t="s">
        <v>1258</v>
      </c>
      <c r="R618" s="67"/>
      <c r="S618" s="67"/>
      <c r="T618" s="67"/>
      <c r="U618" s="67"/>
      <c r="V618" s="67"/>
      <c r="W618" s="67"/>
      <c r="X618" s="67"/>
      <c r="Y618" s="67"/>
      <c r="Z618" s="69"/>
      <c r="AA618" s="69"/>
      <c r="AB618" s="69"/>
      <c r="AC618" s="69"/>
      <c r="AD618" s="69"/>
      <c r="AE618" s="69"/>
      <c r="AF618" s="69"/>
      <c r="AG618" s="69"/>
      <c r="AH618" s="69"/>
    </row>
    <row r="619">
      <c r="A619" s="65" t="s">
        <v>102</v>
      </c>
      <c r="B619" s="66" t="s">
        <v>1259</v>
      </c>
      <c r="C619" s="67"/>
      <c r="D619" s="67"/>
      <c r="E619" s="67"/>
      <c r="F619" s="67"/>
      <c r="G619" s="67"/>
      <c r="H619" s="67"/>
      <c r="I619" s="67"/>
      <c r="J619" s="67"/>
      <c r="K619" s="67"/>
      <c r="L619" s="67"/>
      <c r="M619" s="68"/>
      <c r="N619" s="68"/>
      <c r="O619" s="68"/>
      <c r="P619" s="68"/>
      <c r="Q619" s="68" t="s">
        <v>1260</v>
      </c>
      <c r="R619" s="67"/>
      <c r="S619" s="67"/>
      <c r="T619" s="67"/>
      <c r="U619" s="67"/>
      <c r="V619" s="67"/>
      <c r="W619" s="67"/>
      <c r="X619" s="67"/>
      <c r="Y619" s="67"/>
      <c r="Z619" s="69"/>
      <c r="AA619" s="69"/>
      <c r="AB619" s="69"/>
      <c r="AC619" s="69"/>
      <c r="AD619" s="69"/>
      <c r="AE619" s="69"/>
      <c r="AF619" s="69"/>
      <c r="AG619" s="69"/>
      <c r="AH619" s="69"/>
    </row>
    <row r="620">
      <c r="A620" s="65" t="s">
        <v>102</v>
      </c>
      <c r="B620" s="66" t="s">
        <v>1261</v>
      </c>
      <c r="C620" s="67"/>
      <c r="D620" s="67"/>
      <c r="E620" s="67"/>
      <c r="F620" s="67"/>
      <c r="G620" s="67"/>
      <c r="H620" s="67"/>
      <c r="I620" s="67"/>
      <c r="J620" s="67"/>
      <c r="K620" s="67"/>
      <c r="L620" s="67"/>
      <c r="M620" s="68"/>
      <c r="N620" s="68"/>
      <c r="O620" s="68"/>
      <c r="P620" s="68"/>
      <c r="Q620" s="68" t="s">
        <v>1262</v>
      </c>
      <c r="R620" s="67"/>
      <c r="S620" s="67"/>
      <c r="T620" s="67"/>
      <c r="U620" s="67"/>
      <c r="V620" s="67"/>
      <c r="W620" s="67"/>
      <c r="X620" s="67"/>
      <c r="Y620" s="67"/>
      <c r="Z620" s="69"/>
      <c r="AA620" s="69"/>
      <c r="AB620" s="69"/>
      <c r="AC620" s="69"/>
      <c r="AD620" s="69"/>
      <c r="AE620" s="69"/>
      <c r="AF620" s="69"/>
      <c r="AG620" s="69"/>
      <c r="AH620" s="69"/>
    </row>
    <row r="621">
      <c r="A621" s="65" t="s">
        <v>102</v>
      </c>
      <c r="B621" s="66" t="s">
        <v>1263</v>
      </c>
      <c r="C621" s="67"/>
      <c r="D621" s="67"/>
      <c r="E621" s="67"/>
      <c r="F621" s="67"/>
      <c r="G621" s="67"/>
      <c r="H621" s="67"/>
      <c r="I621" s="67"/>
      <c r="J621" s="67"/>
      <c r="K621" s="68"/>
      <c r="L621" s="68"/>
      <c r="M621" s="68"/>
      <c r="N621" s="68"/>
      <c r="O621" s="68"/>
      <c r="P621" s="68"/>
      <c r="Q621" s="68" t="s">
        <v>1264</v>
      </c>
      <c r="R621" s="67"/>
      <c r="S621" s="67"/>
      <c r="T621" s="67"/>
      <c r="U621" s="67"/>
      <c r="V621" s="67"/>
      <c r="W621" s="67"/>
      <c r="X621" s="67"/>
      <c r="Y621" s="67"/>
      <c r="Z621" s="69"/>
      <c r="AA621" s="69"/>
      <c r="AB621" s="69"/>
      <c r="AC621" s="69"/>
      <c r="AD621" s="69"/>
      <c r="AE621" s="69"/>
      <c r="AF621" s="69"/>
      <c r="AG621" s="69"/>
      <c r="AH621" s="69"/>
    </row>
    <row r="622">
      <c r="A622" s="65" t="s">
        <v>102</v>
      </c>
      <c r="B622" s="66" t="s">
        <v>1265</v>
      </c>
      <c r="C622" s="67"/>
      <c r="D622" s="67"/>
      <c r="E622" s="67"/>
      <c r="F622" s="67"/>
      <c r="G622" s="67"/>
      <c r="H622" s="67"/>
      <c r="I622" s="67"/>
      <c r="J622" s="67"/>
      <c r="K622" s="67"/>
      <c r="L622" s="67"/>
      <c r="M622" s="68"/>
      <c r="N622" s="68"/>
      <c r="O622" s="68"/>
      <c r="P622" s="68"/>
      <c r="Q622" s="68" t="s">
        <v>1266</v>
      </c>
      <c r="R622" s="67"/>
      <c r="S622" s="67"/>
      <c r="T622" s="67"/>
      <c r="U622" s="67"/>
      <c r="V622" s="67"/>
      <c r="W622" s="67"/>
      <c r="X622" s="67"/>
      <c r="Y622" s="67"/>
      <c r="Z622" s="69"/>
      <c r="AA622" s="69"/>
      <c r="AB622" s="69"/>
      <c r="AC622" s="69"/>
      <c r="AD622" s="69"/>
      <c r="AE622" s="69"/>
      <c r="AF622" s="69"/>
      <c r="AG622" s="69"/>
      <c r="AH622" s="69"/>
    </row>
    <row r="623">
      <c r="A623" s="65" t="s">
        <v>102</v>
      </c>
      <c r="B623" s="66" t="s">
        <v>1267</v>
      </c>
      <c r="C623" s="67"/>
      <c r="D623" s="67"/>
      <c r="E623" s="67"/>
      <c r="F623" s="67"/>
      <c r="G623" s="67"/>
      <c r="H623" s="67"/>
      <c r="I623" s="67"/>
      <c r="J623" s="67"/>
      <c r="K623" s="67"/>
      <c r="L623" s="67"/>
      <c r="M623" s="68"/>
      <c r="N623" s="68"/>
      <c r="O623" s="68"/>
      <c r="P623" s="68"/>
      <c r="Q623" s="68" t="s">
        <v>1268</v>
      </c>
      <c r="R623" s="67"/>
      <c r="S623" s="67"/>
      <c r="T623" s="67"/>
      <c r="U623" s="67"/>
      <c r="V623" s="67"/>
      <c r="W623" s="67"/>
      <c r="X623" s="67"/>
      <c r="Y623" s="67"/>
      <c r="Z623" s="69"/>
      <c r="AA623" s="69"/>
      <c r="AB623" s="69"/>
      <c r="AC623" s="69"/>
      <c r="AD623" s="69"/>
      <c r="AE623" s="69"/>
      <c r="AF623" s="69"/>
      <c r="AG623" s="69"/>
      <c r="AH623" s="69"/>
    </row>
    <row r="624">
      <c r="A624" s="65" t="s">
        <v>102</v>
      </c>
      <c r="B624" s="66" t="s">
        <v>1269</v>
      </c>
      <c r="C624" s="67"/>
      <c r="D624" s="67"/>
      <c r="E624" s="67"/>
      <c r="F624" s="67"/>
      <c r="G624" s="67"/>
      <c r="H624" s="67"/>
      <c r="I624" s="67"/>
      <c r="J624" s="67"/>
      <c r="K624" s="67"/>
      <c r="L624" s="67"/>
      <c r="M624" s="68"/>
      <c r="N624" s="68"/>
      <c r="O624" s="68"/>
      <c r="P624" s="68"/>
      <c r="Q624" s="68" t="s">
        <v>1270</v>
      </c>
      <c r="R624" s="67"/>
      <c r="S624" s="67"/>
      <c r="T624" s="67"/>
      <c r="U624" s="67"/>
      <c r="V624" s="67"/>
      <c r="W624" s="67"/>
      <c r="X624" s="67"/>
      <c r="Y624" s="67"/>
      <c r="Z624" s="69"/>
      <c r="AA624" s="69"/>
      <c r="AB624" s="69"/>
      <c r="AC624" s="69"/>
      <c r="AD624" s="69"/>
      <c r="AE624" s="69"/>
      <c r="AF624" s="69"/>
      <c r="AG624" s="69"/>
      <c r="AH624" s="69"/>
    </row>
    <row r="625">
      <c r="A625" s="65" t="s">
        <v>102</v>
      </c>
      <c r="B625" s="66" t="s">
        <v>1271</v>
      </c>
      <c r="C625" s="67"/>
      <c r="D625" s="67"/>
      <c r="E625" s="67"/>
      <c r="F625" s="67"/>
      <c r="G625" s="67"/>
      <c r="H625" s="67"/>
      <c r="I625" s="67"/>
      <c r="J625" s="67"/>
      <c r="K625" s="67"/>
      <c r="L625" s="67"/>
      <c r="M625" s="68"/>
      <c r="N625" s="68"/>
      <c r="O625" s="68"/>
      <c r="P625" s="68"/>
      <c r="Q625" s="68" t="s">
        <v>1272</v>
      </c>
      <c r="R625" s="67"/>
      <c r="S625" s="67"/>
      <c r="T625" s="67"/>
      <c r="U625" s="67"/>
      <c r="V625" s="67"/>
      <c r="W625" s="67"/>
      <c r="X625" s="67"/>
      <c r="Y625" s="67"/>
      <c r="Z625" s="69"/>
      <c r="AA625" s="69"/>
      <c r="AB625" s="69"/>
      <c r="AC625" s="69"/>
      <c r="AD625" s="69"/>
      <c r="AE625" s="69"/>
      <c r="AF625" s="69"/>
      <c r="AG625" s="69"/>
      <c r="AH625" s="69"/>
    </row>
    <row r="626">
      <c r="A626" s="65" t="s">
        <v>102</v>
      </c>
      <c r="B626" s="66" t="s">
        <v>1273</v>
      </c>
      <c r="C626" s="67"/>
      <c r="D626" s="67"/>
      <c r="E626" s="67"/>
      <c r="F626" s="67"/>
      <c r="G626" s="67"/>
      <c r="H626" s="67"/>
      <c r="I626" s="67"/>
      <c r="J626" s="67"/>
      <c r="K626" s="67"/>
      <c r="L626" s="67"/>
      <c r="M626" s="68"/>
      <c r="N626" s="68"/>
      <c r="O626" s="68"/>
      <c r="P626" s="68"/>
      <c r="Q626" s="68" t="s">
        <v>1274</v>
      </c>
      <c r="R626" s="67"/>
      <c r="S626" s="67"/>
      <c r="T626" s="67"/>
      <c r="U626" s="67"/>
      <c r="V626" s="67"/>
      <c r="W626" s="67"/>
      <c r="X626" s="67"/>
      <c r="Y626" s="67"/>
      <c r="Z626" s="69"/>
      <c r="AA626" s="69"/>
      <c r="AB626" s="69"/>
      <c r="AC626" s="69"/>
      <c r="AD626" s="69"/>
      <c r="AE626" s="69"/>
      <c r="AF626" s="69"/>
      <c r="AG626" s="69"/>
      <c r="AH626" s="69"/>
    </row>
    <row r="627">
      <c r="A627" s="65" t="s">
        <v>102</v>
      </c>
      <c r="B627" s="66" t="s">
        <v>1275</v>
      </c>
      <c r="C627" s="67"/>
      <c r="D627" s="67"/>
      <c r="E627" s="67"/>
      <c r="F627" s="67"/>
      <c r="G627" s="67"/>
      <c r="H627" s="67"/>
      <c r="I627" s="67"/>
      <c r="J627" s="67"/>
      <c r="K627" s="67"/>
      <c r="L627" s="67"/>
      <c r="M627" s="68"/>
      <c r="N627" s="68"/>
      <c r="O627" s="68"/>
      <c r="P627" s="68"/>
      <c r="Q627" s="68" t="s">
        <v>1276</v>
      </c>
      <c r="R627" s="67"/>
      <c r="S627" s="67"/>
      <c r="T627" s="67"/>
      <c r="U627" s="67"/>
      <c r="V627" s="67"/>
      <c r="W627" s="67"/>
      <c r="X627" s="67"/>
      <c r="Y627" s="67"/>
      <c r="Z627" s="69"/>
      <c r="AA627" s="69"/>
      <c r="AB627" s="69"/>
      <c r="AC627" s="69"/>
      <c r="AD627" s="69"/>
      <c r="AE627" s="69"/>
      <c r="AF627" s="69"/>
      <c r="AG627" s="69"/>
      <c r="AH627" s="69"/>
    </row>
    <row r="628">
      <c r="A628" s="65" t="s">
        <v>102</v>
      </c>
      <c r="B628" s="66" t="s">
        <v>1277</v>
      </c>
      <c r="C628" s="67"/>
      <c r="D628" s="67"/>
      <c r="E628" s="67"/>
      <c r="F628" s="67"/>
      <c r="G628" s="67"/>
      <c r="H628" s="67"/>
      <c r="I628" s="67"/>
      <c r="J628" s="67"/>
      <c r="K628" s="67"/>
      <c r="L628" s="67"/>
      <c r="M628" s="68"/>
      <c r="N628" s="68"/>
      <c r="O628" s="68"/>
      <c r="P628" s="68"/>
      <c r="Q628" s="68" t="s">
        <v>1278</v>
      </c>
      <c r="R628" s="67"/>
      <c r="S628" s="67"/>
      <c r="T628" s="67"/>
      <c r="U628" s="67"/>
      <c r="V628" s="67"/>
      <c r="W628" s="67"/>
      <c r="X628" s="67"/>
      <c r="Y628" s="67"/>
      <c r="Z628" s="69"/>
      <c r="AA628" s="69"/>
      <c r="AB628" s="69"/>
      <c r="AC628" s="69"/>
      <c r="AD628" s="69"/>
      <c r="AE628" s="69"/>
      <c r="AF628" s="69"/>
      <c r="AG628" s="69"/>
      <c r="AH628" s="69"/>
    </row>
    <row r="629">
      <c r="A629" s="65" t="s">
        <v>102</v>
      </c>
      <c r="B629" s="66" t="s">
        <v>1279</v>
      </c>
      <c r="C629" s="67"/>
      <c r="D629" s="67"/>
      <c r="E629" s="67"/>
      <c r="F629" s="67"/>
      <c r="G629" s="67"/>
      <c r="H629" s="67"/>
      <c r="I629" s="67"/>
      <c r="J629" s="67"/>
      <c r="K629" s="67"/>
      <c r="L629" s="67"/>
      <c r="M629" s="68"/>
      <c r="N629" s="68"/>
      <c r="O629" s="68"/>
      <c r="P629" s="68"/>
      <c r="Q629" s="68" t="s">
        <v>1280</v>
      </c>
      <c r="R629" s="67"/>
      <c r="S629" s="67"/>
      <c r="T629" s="67"/>
      <c r="U629" s="67"/>
      <c r="V629" s="67"/>
      <c r="W629" s="67"/>
      <c r="X629" s="67"/>
      <c r="Y629" s="67"/>
      <c r="Z629" s="69"/>
      <c r="AA629" s="69"/>
      <c r="AB629" s="69"/>
      <c r="AC629" s="69"/>
      <c r="AD629" s="69"/>
      <c r="AE629" s="69"/>
      <c r="AF629" s="69"/>
      <c r="AG629" s="69"/>
      <c r="AH629" s="69"/>
    </row>
    <row r="630">
      <c r="A630" s="65" t="s">
        <v>102</v>
      </c>
      <c r="B630" s="66" t="s">
        <v>1281</v>
      </c>
      <c r="C630" s="67"/>
      <c r="D630" s="67"/>
      <c r="E630" s="67"/>
      <c r="F630" s="67"/>
      <c r="G630" s="67"/>
      <c r="H630" s="67"/>
      <c r="I630" s="67"/>
      <c r="J630" s="67"/>
      <c r="K630" s="67"/>
      <c r="L630" s="67"/>
      <c r="M630" s="68"/>
      <c r="N630" s="68"/>
      <c r="O630" s="68"/>
      <c r="P630" s="68"/>
      <c r="Q630" s="68" t="s">
        <v>1282</v>
      </c>
      <c r="R630" s="67"/>
      <c r="S630" s="67"/>
      <c r="T630" s="67"/>
      <c r="U630" s="67"/>
      <c r="V630" s="67"/>
      <c r="W630" s="67"/>
      <c r="X630" s="67"/>
      <c r="Y630" s="67"/>
      <c r="Z630" s="69"/>
      <c r="AA630" s="69"/>
      <c r="AB630" s="69"/>
      <c r="AC630" s="69"/>
      <c r="AD630" s="69"/>
      <c r="AE630" s="69"/>
      <c r="AF630" s="69"/>
      <c r="AG630" s="69"/>
      <c r="AH630" s="69"/>
    </row>
    <row r="631">
      <c r="A631" s="65" t="s">
        <v>102</v>
      </c>
      <c r="B631" s="66" t="s">
        <v>1283</v>
      </c>
      <c r="C631" s="67"/>
      <c r="D631" s="67"/>
      <c r="E631" s="67"/>
      <c r="F631" s="67"/>
      <c r="G631" s="67"/>
      <c r="H631" s="67"/>
      <c r="I631" s="67"/>
      <c r="J631" s="67"/>
      <c r="K631" s="67"/>
      <c r="L631" s="67"/>
      <c r="M631" s="68"/>
      <c r="N631" s="68"/>
      <c r="O631" s="68"/>
      <c r="P631" s="68"/>
      <c r="Q631" s="68" t="s">
        <v>1284</v>
      </c>
      <c r="R631" s="67"/>
      <c r="S631" s="67"/>
      <c r="T631" s="67"/>
      <c r="U631" s="67"/>
      <c r="V631" s="67"/>
      <c r="W631" s="67"/>
      <c r="X631" s="67"/>
      <c r="Y631" s="67"/>
      <c r="Z631" s="69"/>
      <c r="AA631" s="69"/>
      <c r="AB631" s="69"/>
      <c r="AC631" s="69"/>
      <c r="AD631" s="69"/>
      <c r="AE631" s="69"/>
      <c r="AF631" s="69"/>
      <c r="AG631" s="69"/>
      <c r="AH631" s="69"/>
    </row>
    <row r="632">
      <c r="A632" s="65" t="s">
        <v>102</v>
      </c>
      <c r="B632" s="66" t="s">
        <v>1285</v>
      </c>
      <c r="C632" s="67"/>
      <c r="D632" s="67"/>
      <c r="E632" s="67"/>
      <c r="F632" s="67"/>
      <c r="G632" s="67"/>
      <c r="H632" s="67"/>
      <c r="I632" s="67"/>
      <c r="J632" s="67"/>
      <c r="K632" s="67"/>
      <c r="L632" s="67"/>
      <c r="M632" s="68"/>
      <c r="N632" s="68"/>
      <c r="O632" s="68"/>
      <c r="P632" s="68"/>
      <c r="Q632" s="68" t="s">
        <v>1286</v>
      </c>
      <c r="R632" s="67"/>
      <c r="S632" s="67"/>
      <c r="T632" s="67"/>
      <c r="U632" s="67"/>
      <c r="V632" s="67"/>
      <c r="W632" s="67"/>
      <c r="X632" s="67"/>
      <c r="Y632" s="67"/>
      <c r="Z632" s="69"/>
      <c r="AA632" s="69"/>
      <c r="AB632" s="69"/>
      <c r="AC632" s="69"/>
      <c r="AD632" s="69"/>
      <c r="AE632" s="69"/>
      <c r="AF632" s="69"/>
      <c r="AG632" s="69"/>
      <c r="AH632" s="69"/>
    </row>
    <row r="633">
      <c r="A633" s="65" t="s">
        <v>102</v>
      </c>
      <c r="B633" s="66" t="s">
        <v>1287</v>
      </c>
      <c r="C633" s="67"/>
      <c r="D633" s="67"/>
      <c r="E633" s="67"/>
      <c r="F633" s="67"/>
      <c r="G633" s="67"/>
      <c r="H633" s="67"/>
      <c r="I633" s="67"/>
      <c r="J633" s="67"/>
      <c r="K633" s="67"/>
      <c r="L633" s="67"/>
      <c r="M633" s="68"/>
      <c r="N633" s="68"/>
      <c r="O633" s="68"/>
      <c r="P633" s="68"/>
      <c r="Q633" s="68" t="s">
        <v>1288</v>
      </c>
      <c r="R633" s="67"/>
      <c r="S633" s="67"/>
      <c r="T633" s="67"/>
      <c r="U633" s="67"/>
      <c r="V633" s="67"/>
      <c r="W633" s="67"/>
      <c r="X633" s="67"/>
      <c r="Y633" s="67"/>
      <c r="Z633" s="69"/>
      <c r="AA633" s="69"/>
      <c r="AB633" s="69"/>
      <c r="AC633" s="69"/>
      <c r="AD633" s="69"/>
      <c r="AE633" s="69"/>
      <c r="AF633" s="69"/>
      <c r="AG633" s="69"/>
      <c r="AH633" s="69"/>
    </row>
    <row r="634">
      <c r="A634" s="65" t="s">
        <v>102</v>
      </c>
      <c r="B634" s="66" t="s">
        <v>1289</v>
      </c>
      <c r="C634" s="67"/>
      <c r="D634" s="67"/>
      <c r="E634" s="67"/>
      <c r="F634" s="67"/>
      <c r="G634" s="67"/>
      <c r="H634" s="67"/>
      <c r="I634" s="67"/>
      <c r="J634" s="67"/>
      <c r="K634" s="67"/>
      <c r="L634" s="67"/>
      <c r="M634" s="68"/>
      <c r="N634" s="68"/>
      <c r="O634" s="68"/>
      <c r="P634" s="68"/>
      <c r="Q634" s="68" t="s">
        <v>1290</v>
      </c>
      <c r="R634" s="67"/>
      <c r="S634" s="67"/>
      <c r="T634" s="67"/>
      <c r="U634" s="67"/>
      <c r="V634" s="67"/>
      <c r="W634" s="67"/>
      <c r="X634" s="67"/>
      <c r="Y634" s="67"/>
      <c r="Z634" s="69"/>
      <c r="AA634" s="69"/>
      <c r="AB634" s="69"/>
      <c r="AC634" s="69"/>
      <c r="AD634" s="69"/>
      <c r="AE634" s="69"/>
      <c r="AF634" s="69"/>
      <c r="AG634" s="69"/>
      <c r="AH634" s="69"/>
    </row>
    <row r="635">
      <c r="A635" s="65" t="s">
        <v>102</v>
      </c>
      <c r="B635" s="66" t="s">
        <v>1291</v>
      </c>
      <c r="C635" s="67"/>
      <c r="D635" s="67"/>
      <c r="E635" s="67"/>
      <c r="F635" s="67"/>
      <c r="G635" s="67"/>
      <c r="H635" s="67"/>
      <c r="I635" s="67"/>
      <c r="J635" s="67"/>
      <c r="K635" s="67"/>
      <c r="L635" s="67"/>
      <c r="M635" s="68"/>
      <c r="N635" s="68"/>
      <c r="O635" s="68"/>
      <c r="P635" s="68"/>
      <c r="Q635" s="68" t="s">
        <v>1292</v>
      </c>
      <c r="R635" s="67"/>
      <c r="S635" s="67"/>
      <c r="T635" s="67"/>
      <c r="U635" s="67"/>
      <c r="V635" s="67"/>
      <c r="W635" s="67"/>
      <c r="X635" s="67"/>
      <c r="Y635" s="67"/>
      <c r="Z635" s="69"/>
      <c r="AA635" s="69"/>
      <c r="AB635" s="69"/>
      <c r="AC635" s="69"/>
      <c r="AD635" s="69"/>
      <c r="AE635" s="69"/>
      <c r="AF635" s="69"/>
      <c r="AG635" s="69"/>
      <c r="AH635" s="69"/>
    </row>
    <row r="636">
      <c r="A636" s="65" t="s">
        <v>102</v>
      </c>
      <c r="B636" s="66" t="s">
        <v>1293</v>
      </c>
      <c r="C636" s="67"/>
      <c r="D636" s="67"/>
      <c r="E636" s="67"/>
      <c r="F636" s="67"/>
      <c r="G636" s="67"/>
      <c r="H636" s="67"/>
      <c r="I636" s="67"/>
      <c r="J636" s="67"/>
      <c r="K636" s="67"/>
      <c r="L636" s="67"/>
      <c r="M636" s="68"/>
      <c r="N636" s="68"/>
      <c r="O636" s="68"/>
      <c r="P636" s="68"/>
      <c r="Q636" s="68" t="s">
        <v>1294</v>
      </c>
      <c r="R636" s="67"/>
      <c r="S636" s="67"/>
      <c r="T636" s="67"/>
      <c r="U636" s="67"/>
      <c r="V636" s="67"/>
      <c r="W636" s="67"/>
      <c r="X636" s="67"/>
      <c r="Y636" s="67"/>
      <c r="Z636" s="69"/>
      <c r="AA636" s="69"/>
      <c r="AB636" s="69"/>
      <c r="AC636" s="69"/>
      <c r="AD636" s="69"/>
      <c r="AE636" s="69"/>
      <c r="AF636" s="69"/>
      <c r="AG636" s="69"/>
      <c r="AH636" s="69"/>
    </row>
    <row r="637">
      <c r="A637" s="65" t="s">
        <v>102</v>
      </c>
      <c r="B637" s="66" t="s">
        <v>1295</v>
      </c>
      <c r="C637" s="67"/>
      <c r="D637" s="67"/>
      <c r="E637" s="67"/>
      <c r="F637" s="67"/>
      <c r="G637" s="67"/>
      <c r="H637" s="67"/>
      <c r="I637" s="67"/>
      <c r="J637" s="67"/>
      <c r="K637" s="67"/>
      <c r="L637" s="67"/>
      <c r="M637" s="68"/>
      <c r="N637" s="68"/>
      <c r="O637" s="68"/>
      <c r="P637" s="68"/>
      <c r="Q637" s="68" t="s">
        <v>1296</v>
      </c>
      <c r="R637" s="67"/>
      <c r="S637" s="67"/>
      <c r="T637" s="67"/>
      <c r="U637" s="67"/>
      <c r="V637" s="67"/>
      <c r="W637" s="67"/>
      <c r="X637" s="67"/>
      <c r="Y637" s="67"/>
      <c r="Z637" s="69"/>
      <c r="AA637" s="69"/>
      <c r="AB637" s="69"/>
      <c r="AC637" s="69"/>
      <c r="AD637" s="69"/>
      <c r="AE637" s="69"/>
      <c r="AF637" s="69"/>
      <c r="AG637" s="69"/>
      <c r="AH637" s="69"/>
    </row>
    <row r="638">
      <c r="A638" s="57" t="s">
        <v>82</v>
      </c>
      <c r="B638" s="58" t="s">
        <v>1133</v>
      </c>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21"/>
      <c r="AA638" s="21"/>
      <c r="AB638" s="21"/>
      <c r="AC638" s="21"/>
      <c r="AD638" s="21"/>
      <c r="AE638" s="21"/>
      <c r="AF638" s="21"/>
      <c r="AG638" s="21"/>
      <c r="AH638" s="21"/>
    </row>
    <row r="639">
      <c r="A639" s="57" t="s">
        <v>82</v>
      </c>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21"/>
      <c r="AA639" s="21"/>
      <c r="AB639" s="21"/>
      <c r="AC639" s="21"/>
      <c r="AD639" s="21"/>
      <c r="AE639" s="21"/>
      <c r="AF639" s="21"/>
      <c r="AG639" s="21"/>
      <c r="AH639" s="21"/>
    </row>
    <row r="640">
      <c r="A640" s="34"/>
      <c r="B640" s="35"/>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6"/>
      <c r="AA640" s="36"/>
      <c r="AB640" s="36"/>
      <c r="AC640" s="36"/>
      <c r="AD640" s="36"/>
      <c r="AE640" s="36"/>
      <c r="AF640" s="36"/>
      <c r="AG640" s="36"/>
      <c r="AH640" s="36"/>
    </row>
    <row r="641">
      <c r="A641" s="34"/>
      <c r="B641" s="35"/>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6"/>
      <c r="AA641" s="36"/>
      <c r="AB641" s="36"/>
      <c r="AC641" s="36"/>
      <c r="AD641" s="36"/>
      <c r="AE641" s="36"/>
      <c r="AF641" s="36"/>
      <c r="AG641" s="36"/>
      <c r="AH641" s="36"/>
    </row>
    <row r="642">
      <c r="A642" s="34"/>
      <c r="B642" s="35"/>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6"/>
      <c r="AA642" s="36"/>
      <c r="AB642" s="36"/>
      <c r="AC642" s="36"/>
      <c r="AD642" s="36"/>
      <c r="AE642" s="36"/>
      <c r="AF642" s="36"/>
      <c r="AG642" s="36"/>
      <c r="AH642" s="36"/>
    </row>
    <row r="643">
      <c r="A643" s="34"/>
      <c r="B643" s="35"/>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6"/>
      <c r="AA643" s="36"/>
      <c r="AB643" s="36"/>
      <c r="AC643" s="36"/>
      <c r="AD643" s="36"/>
      <c r="AE643" s="36"/>
      <c r="AF643" s="36"/>
      <c r="AG643" s="36"/>
      <c r="AH643" s="36"/>
    </row>
    <row r="644">
      <c r="A644" s="34"/>
      <c r="B644" s="35"/>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6"/>
      <c r="AA644" s="36"/>
      <c r="AB644" s="36"/>
      <c r="AC644" s="36"/>
      <c r="AD644" s="36"/>
      <c r="AE644" s="36"/>
      <c r="AF644" s="36"/>
      <c r="AG644" s="36"/>
      <c r="AH644" s="36"/>
    </row>
    <row r="645">
      <c r="A645" s="34"/>
      <c r="B645" s="35"/>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6"/>
      <c r="AA645" s="36"/>
      <c r="AB645" s="36"/>
      <c r="AC645" s="36"/>
      <c r="AD645" s="36"/>
      <c r="AE645" s="36"/>
      <c r="AF645" s="36"/>
      <c r="AG645" s="36"/>
      <c r="AH645" s="36"/>
    </row>
    <row r="646">
      <c r="A646" s="34"/>
      <c r="B646" s="35"/>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6"/>
      <c r="AA646" s="36"/>
      <c r="AB646" s="36"/>
      <c r="AC646" s="36"/>
      <c r="AD646" s="36"/>
      <c r="AE646" s="36"/>
      <c r="AF646" s="36"/>
      <c r="AG646" s="36"/>
      <c r="AH646" s="36"/>
    </row>
    <row r="647">
      <c r="A647" s="34"/>
      <c r="B647" s="35"/>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6"/>
      <c r="AA647" s="36"/>
      <c r="AB647" s="36"/>
      <c r="AC647" s="36"/>
      <c r="AD647" s="36"/>
      <c r="AE647" s="36"/>
      <c r="AF647" s="36"/>
      <c r="AG647" s="36"/>
      <c r="AH647" s="36"/>
    </row>
    <row r="648">
      <c r="A648" s="34"/>
      <c r="B648" s="35"/>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6"/>
      <c r="AA648" s="36"/>
      <c r="AB648" s="36"/>
      <c r="AC648" s="36"/>
      <c r="AD648" s="36"/>
      <c r="AE648" s="36"/>
      <c r="AF648" s="36"/>
      <c r="AG648" s="36"/>
      <c r="AH648" s="36"/>
    </row>
    <row r="649">
      <c r="A649" s="34"/>
      <c r="B649" s="35"/>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6"/>
      <c r="AA649" s="36"/>
      <c r="AB649" s="36"/>
      <c r="AC649" s="36"/>
      <c r="AD649" s="36"/>
      <c r="AE649" s="36"/>
      <c r="AF649" s="36"/>
      <c r="AG649" s="36"/>
      <c r="AH649" s="36"/>
    </row>
    <row r="650">
      <c r="A650" s="34"/>
      <c r="B650" s="35"/>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6"/>
      <c r="AA650" s="36"/>
      <c r="AB650" s="36"/>
      <c r="AC650" s="36"/>
      <c r="AD650" s="36"/>
      <c r="AE650" s="36"/>
      <c r="AF650" s="36"/>
      <c r="AG650" s="36"/>
      <c r="AH650" s="36"/>
    </row>
    <row r="651">
      <c r="A651" s="34"/>
      <c r="B651" s="35"/>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6"/>
      <c r="AA651" s="36"/>
      <c r="AB651" s="36"/>
      <c r="AC651" s="36"/>
      <c r="AD651" s="36"/>
      <c r="AE651" s="36"/>
      <c r="AF651" s="36"/>
      <c r="AG651" s="36"/>
      <c r="AH651" s="36"/>
    </row>
    <row r="652">
      <c r="A652" s="34"/>
      <c r="B652" s="35"/>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6"/>
      <c r="AA652" s="36"/>
      <c r="AB652" s="36"/>
      <c r="AC652" s="36"/>
      <c r="AD652" s="36"/>
      <c r="AE652" s="36"/>
      <c r="AF652" s="36"/>
      <c r="AG652" s="36"/>
      <c r="AH652" s="36"/>
    </row>
    <row r="653">
      <c r="A653" s="34"/>
      <c r="B653" s="35"/>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6"/>
      <c r="AA653" s="36"/>
      <c r="AB653" s="36"/>
      <c r="AC653" s="36"/>
      <c r="AD653" s="36"/>
      <c r="AE653" s="36"/>
      <c r="AF653" s="36"/>
      <c r="AG653" s="36"/>
      <c r="AH653" s="36"/>
    </row>
    <row r="654">
      <c r="A654" s="34"/>
      <c r="B654" s="35"/>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6"/>
      <c r="AA654" s="36"/>
      <c r="AB654" s="36"/>
      <c r="AC654" s="36"/>
      <c r="AD654" s="36"/>
      <c r="AE654" s="36"/>
      <c r="AF654" s="36"/>
      <c r="AG654" s="36"/>
      <c r="AH654" s="36"/>
    </row>
    <row r="655">
      <c r="A655" s="34"/>
      <c r="B655" s="35"/>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6"/>
      <c r="AA655" s="36"/>
      <c r="AB655" s="36"/>
      <c r="AC655" s="36"/>
      <c r="AD655" s="36"/>
      <c r="AE655" s="36"/>
      <c r="AF655" s="36"/>
      <c r="AG655" s="36"/>
      <c r="AH655" s="36"/>
    </row>
    <row r="656">
      <c r="A656" s="34"/>
      <c r="B656" s="35"/>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6"/>
      <c r="AA656" s="36"/>
      <c r="AB656" s="36"/>
      <c r="AC656" s="36"/>
      <c r="AD656" s="36"/>
      <c r="AE656" s="36"/>
      <c r="AF656" s="36"/>
      <c r="AG656" s="36"/>
      <c r="AH656" s="36"/>
    </row>
    <row r="657">
      <c r="A657" s="34"/>
      <c r="B657" s="35"/>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6"/>
      <c r="AA657" s="36"/>
      <c r="AB657" s="36"/>
      <c r="AC657" s="36"/>
      <c r="AD657" s="36"/>
      <c r="AE657" s="36"/>
      <c r="AF657" s="36"/>
      <c r="AG657" s="36"/>
      <c r="AH657" s="36"/>
    </row>
    <row r="658">
      <c r="A658" s="34"/>
      <c r="B658" s="35"/>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6"/>
      <c r="AA658" s="36"/>
      <c r="AB658" s="36"/>
      <c r="AC658" s="36"/>
      <c r="AD658" s="36"/>
      <c r="AE658" s="36"/>
      <c r="AF658" s="36"/>
      <c r="AG658" s="36"/>
      <c r="AH658" s="36"/>
    </row>
    <row r="659">
      <c r="A659" s="34"/>
      <c r="B659" s="35"/>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6"/>
      <c r="AA659" s="36"/>
      <c r="AB659" s="36"/>
      <c r="AC659" s="36"/>
      <c r="AD659" s="36"/>
      <c r="AE659" s="36"/>
      <c r="AF659" s="36"/>
      <c r="AG659" s="36"/>
      <c r="AH659" s="36"/>
    </row>
    <row r="660">
      <c r="A660" s="34"/>
      <c r="B660" s="35"/>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6"/>
      <c r="AA660" s="36"/>
      <c r="AB660" s="36"/>
      <c r="AC660" s="36"/>
      <c r="AD660" s="36"/>
      <c r="AE660" s="36"/>
      <c r="AF660" s="36"/>
      <c r="AG660" s="36"/>
      <c r="AH660" s="36"/>
    </row>
    <row r="661">
      <c r="A661" s="34"/>
      <c r="B661" s="35"/>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6"/>
      <c r="AA661" s="36"/>
      <c r="AB661" s="36"/>
      <c r="AC661" s="36"/>
      <c r="AD661" s="36"/>
      <c r="AE661" s="36"/>
      <c r="AF661" s="36"/>
      <c r="AG661" s="36"/>
      <c r="AH661" s="36"/>
    </row>
    <row r="662">
      <c r="A662" s="34"/>
      <c r="B662" s="35"/>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6"/>
      <c r="AA662" s="36"/>
      <c r="AB662" s="36"/>
      <c r="AC662" s="36"/>
      <c r="AD662" s="36"/>
      <c r="AE662" s="36"/>
      <c r="AF662" s="36"/>
      <c r="AG662" s="36"/>
      <c r="AH662" s="36"/>
    </row>
    <row r="663">
      <c r="A663" s="34"/>
      <c r="B663" s="35"/>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6"/>
      <c r="AA663" s="36"/>
      <c r="AB663" s="36"/>
      <c r="AC663" s="36"/>
      <c r="AD663" s="36"/>
      <c r="AE663" s="36"/>
      <c r="AF663" s="36"/>
      <c r="AG663" s="36"/>
      <c r="AH663" s="36"/>
    </row>
    <row r="664">
      <c r="A664" s="34"/>
      <c r="B664" s="35"/>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6"/>
      <c r="AA664" s="36"/>
      <c r="AB664" s="36"/>
      <c r="AC664" s="36"/>
      <c r="AD664" s="36"/>
      <c r="AE664" s="36"/>
      <c r="AF664" s="36"/>
      <c r="AG664" s="36"/>
      <c r="AH664" s="36"/>
    </row>
    <row r="665">
      <c r="A665" s="34"/>
      <c r="B665" s="35"/>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6"/>
      <c r="AA665" s="36"/>
      <c r="AB665" s="36"/>
      <c r="AC665" s="36"/>
      <c r="AD665" s="36"/>
      <c r="AE665" s="36"/>
      <c r="AF665" s="36"/>
      <c r="AG665" s="36"/>
      <c r="AH665" s="36"/>
    </row>
    <row r="666">
      <c r="A666" s="34"/>
      <c r="B666" s="35"/>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6"/>
      <c r="AA666" s="36"/>
      <c r="AB666" s="36"/>
      <c r="AC666" s="36"/>
      <c r="AD666" s="36"/>
      <c r="AE666" s="36"/>
      <c r="AF666" s="36"/>
      <c r="AG666" s="36"/>
      <c r="AH666" s="36"/>
    </row>
    <row r="667">
      <c r="A667" s="34"/>
      <c r="B667" s="35"/>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6"/>
      <c r="AA667" s="36"/>
      <c r="AB667" s="36"/>
      <c r="AC667" s="36"/>
      <c r="AD667" s="36"/>
      <c r="AE667" s="36"/>
      <c r="AF667" s="36"/>
      <c r="AG667" s="36"/>
      <c r="AH667" s="36"/>
    </row>
    <row r="668">
      <c r="A668" s="34"/>
      <c r="B668" s="35"/>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6"/>
      <c r="AA668" s="36"/>
      <c r="AB668" s="36"/>
      <c r="AC668" s="36"/>
      <c r="AD668" s="36"/>
      <c r="AE668" s="36"/>
      <c r="AF668" s="36"/>
      <c r="AG668" s="36"/>
      <c r="AH668" s="36"/>
    </row>
    <row r="669">
      <c r="A669" s="34"/>
      <c r="B669" s="35"/>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6"/>
      <c r="AA669" s="36"/>
      <c r="AB669" s="36"/>
      <c r="AC669" s="36"/>
      <c r="AD669" s="36"/>
      <c r="AE669" s="36"/>
      <c r="AF669" s="36"/>
      <c r="AG669" s="36"/>
      <c r="AH669" s="36"/>
    </row>
    <row r="670">
      <c r="A670" s="34"/>
      <c r="B670" s="35"/>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6"/>
      <c r="AA670" s="36"/>
      <c r="AB670" s="36"/>
      <c r="AC670" s="36"/>
      <c r="AD670" s="36"/>
      <c r="AE670" s="36"/>
      <c r="AF670" s="36"/>
      <c r="AG670" s="36"/>
      <c r="AH670" s="36"/>
    </row>
    <row r="671">
      <c r="A671" s="34"/>
      <c r="B671" s="35"/>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6"/>
      <c r="AA671" s="36"/>
      <c r="AB671" s="36"/>
      <c r="AC671" s="36"/>
      <c r="AD671" s="36"/>
      <c r="AE671" s="36"/>
      <c r="AF671" s="36"/>
      <c r="AG671" s="36"/>
      <c r="AH671" s="36"/>
    </row>
    <row r="672">
      <c r="A672" s="34"/>
      <c r="B672" s="35"/>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6"/>
      <c r="AA672" s="36"/>
      <c r="AB672" s="36"/>
      <c r="AC672" s="36"/>
      <c r="AD672" s="36"/>
      <c r="AE672" s="36"/>
      <c r="AF672" s="36"/>
      <c r="AG672" s="36"/>
      <c r="AH672" s="36"/>
    </row>
    <row r="673">
      <c r="A673" s="34"/>
      <c r="B673" s="35"/>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6"/>
      <c r="AA673" s="36"/>
      <c r="AB673" s="36"/>
      <c r="AC673" s="36"/>
      <c r="AD673" s="36"/>
      <c r="AE673" s="36"/>
      <c r="AF673" s="36"/>
      <c r="AG673" s="36"/>
      <c r="AH673" s="36"/>
    </row>
    <row r="674">
      <c r="A674" s="34"/>
      <c r="B674" s="35"/>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6"/>
      <c r="AA674" s="36"/>
      <c r="AB674" s="36"/>
      <c r="AC674" s="36"/>
      <c r="AD674" s="36"/>
      <c r="AE674" s="36"/>
      <c r="AF674" s="36"/>
      <c r="AG674" s="36"/>
      <c r="AH674" s="36"/>
    </row>
    <row r="675">
      <c r="A675" s="34"/>
      <c r="B675" s="35"/>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6"/>
      <c r="AA675" s="36"/>
      <c r="AB675" s="36"/>
      <c r="AC675" s="36"/>
      <c r="AD675" s="36"/>
      <c r="AE675" s="36"/>
      <c r="AF675" s="36"/>
      <c r="AG675" s="36"/>
      <c r="AH675" s="36"/>
    </row>
    <row r="676">
      <c r="A676" s="34"/>
      <c r="B676" s="35"/>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6"/>
      <c r="AA676" s="36"/>
      <c r="AB676" s="36"/>
      <c r="AC676" s="36"/>
      <c r="AD676" s="36"/>
      <c r="AE676" s="36"/>
      <c r="AF676" s="36"/>
      <c r="AG676" s="36"/>
      <c r="AH676" s="36"/>
    </row>
    <row r="677">
      <c r="A677" s="34"/>
      <c r="B677" s="35"/>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6"/>
      <c r="AA677" s="36"/>
      <c r="AB677" s="36"/>
      <c r="AC677" s="36"/>
      <c r="AD677" s="36"/>
      <c r="AE677" s="36"/>
      <c r="AF677" s="36"/>
      <c r="AG677" s="36"/>
      <c r="AH677" s="36"/>
    </row>
    <row r="678">
      <c r="A678" s="34"/>
      <c r="B678" s="35"/>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6"/>
      <c r="AA678" s="36"/>
      <c r="AB678" s="36"/>
      <c r="AC678" s="36"/>
      <c r="AD678" s="36"/>
      <c r="AE678" s="36"/>
      <c r="AF678" s="36"/>
      <c r="AG678" s="36"/>
      <c r="AH678" s="36"/>
    </row>
    <row r="679">
      <c r="A679" s="34"/>
      <c r="B679" s="35"/>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6"/>
      <c r="AA679" s="36"/>
      <c r="AB679" s="36"/>
      <c r="AC679" s="36"/>
      <c r="AD679" s="36"/>
      <c r="AE679" s="36"/>
      <c r="AF679" s="36"/>
      <c r="AG679" s="36"/>
      <c r="AH679" s="36"/>
    </row>
    <row r="680">
      <c r="A680" s="34"/>
      <c r="B680" s="35"/>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6"/>
      <c r="AA680" s="36"/>
      <c r="AB680" s="36"/>
      <c r="AC680" s="36"/>
      <c r="AD680" s="36"/>
      <c r="AE680" s="36"/>
      <c r="AF680" s="36"/>
      <c r="AG680" s="36"/>
      <c r="AH680" s="36"/>
    </row>
    <row r="681">
      <c r="A681" s="34"/>
      <c r="B681" s="35"/>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6"/>
      <c r="AA681" s="36"/>
      <c r="AB681" s="36"/>
      <c r="AC681" s="36"/>
      <c r="AD681" s="36"/>
      <c r="AE681" s="36"/>
      <c r="AF681" s="36"/>
      <c r="AG681" s="36"/>
      <c r="AH681" s="36"/>
    </row>
    <row r="682">
      <c r="A682" s="34"/>
      <c r="B682" s="35"/>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6"/>
      <c r="AA682" s="36"/>
      <c r="AB682" s="36"/>
      <c r="AC682" s="36"/>
      <c r="AD682" s="36"/>
      <c r="AE682" s="36"/>
      <c r="AF682" s="36"/>
      <c r="AG682" s="36"/>
      <c r="AH682" s="36"/>
    </row>
    <row r="683">
      <c r="A683" s="34"/>
      <c r="B683" s="35"/>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6"/>
      <c r="AA683" s="36"/>
      <c r="AB683" s="36"/>
      <c r="AC683" s="36"/>
      <c r="AD683" s="36"/>
      <c r="AE683" s="36"/>
      <c r="AF683" s="36"/>
      <c r="AG683" s="36"/>
      <c r="AH683" s="36"/>
    </row>
    <row r="684">
      <c r="A684" s="34"/>
      <c r="B684" s="35"/>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6"/>
      <c r="AA684" s="36"/>
      <c r="AB684" s="36"/>
      <c r="AC684" s="36"/>
      <c r="AD684" s="36"/>
      <c r="AE684" s="36"/>
      <c r="AF684" s="36"/>
      <c r="AG684" s="36"/>
      <c r="AH684" s="36"/>
    </row>
    <row r="685">
      <c r="A685" s="34"/>
      <c r="B685" s="35"/>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6"/>
      <c r="AA685" s="36"/>
      <c r="AB685" s="36"/>
      <c r="AC685" s="36"/>
      <c r="AD685" s="36"/>
      <c r="AE685" s="36"/>
      <c r="AF685" s="36"/>
      <c r="AG685" s="36"/>
      <c r="AH685" s="36"/>
    </row>
    <row r="686">
      <c r="A686" s="34"/>
      <c r="B686" s="35"/>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6"/>
      <c r="AA686" s="36"/>
      <c r="AB686" s="36"/>
      <c r="AC686" s="36"/>
      <c r="AD686" s="36"/>
      <c r="AE686" s="36"/>
      <c r="AF686" s="36"/>
      <c r="AG686" s="36"/>
      <c r="AH686" s="36"/>
    </row>
    <row r="687">
      <c r="A687" s="34"/>
      <c r="B687" s="35"/>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6"/>
      <c r="AA687" s="36"/>
      <c r="AB687" s="36"/>
      <c r="AC687" s="36"/>
      <c r="AD687" s="36"/>
      <c r="AE687" s="36"/>
      <c r="AF687" s="36"/>
      <c r="AG687" s="36"/>
      <c r="AH687" s="36"/>
    </row>
    <row r="688">
      <c r="A688" s="34"/>
      <c r="B688" s="35"/>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6"/>
      <c r="AA688" s="36"/>
      <c r="AB688" s="36"/>
      <c r="AC688" s="36"/>
      <c r="AD688" s="36"/>
      <c r="AE688" s="36"/>
      <c r="AF688" s="36"/>
      <c r="AG688" s="36"/>
      <c r="AH688" s="36"/>
    </row>
    <row r="689">
      <c r="A689" s="34"/>
      <c r="B689" s="35"/>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6"/>
      <c r="AA689" s="36"/>
      <c r="AB689" s="36"/>
      <c r="AC689" s="36"/>
      <c r="AD689" s="36"/>
      <c r="AE689" s="36"/>
      <c r="AF689" s="36"/>
      <c r="AG689" s="36"/>
      <c r="AH689" s="36"/>
    </row>
    <row r="690">
      <c r="A690" s="34"/>
      <c r="B690" s="35"/>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6"/>
      <c r="AA690" s="36"/>
      <c r="AB690" s="36"/>
      <c r="AC690" s="36"/>
      <c r="AD690" s="36"/>
      <c r="AE690" s="36"/>
      <c r="AF690" s="36"/>
      <c r="AG690" s="36"/>
      <c r="AH690" s="36"/>
    </row>
    <row r="691">
      <c r="A691" s="34"/>
      <c r="B691" s="35"/>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6"/>
      <c r="AA691" s="36"/>
      <c r="AB691" s="36"/>
      <c r="AC691" s="36"/>
      <c r="AD691" s="36"/>
      <c r="AE691" s="36"/>
      <c r="AF691" s="36"/>
      <c r="AG691" s="36"/>
      <c r="AH691" s="36"/>
    </row>
    <row r="692">
      <c r="A692" s="34"/>
      <c r="B692" s="35"/>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6"/>
      <c r="AA692" s="36"/>
      <c r="AB692" s="36"/>
      <c r="AC692" s="36"/>
      <c r="AD692" s="36"/>
      <c r="AE692" s="36"/>
      <c r="AF692" s="36"/>
      <c r="AG692" s="36"/>
      <c r="AH692" s="36"/>
    </row>
    <row r="693">
      <c r="A693" s="34"/>
      <c r="B693" s="35"/>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6"/>
      <c r="AA693" s="36"/>
      <c r="AB693" s="36"/>
      <c r="AC693" s="36"/>
      <c r="AD693" s="36"/>
      <c r="AE693" s="36"/>
      <c r="AF693" s="36"/>
      <c r="AG693" s="36"/>
      <c r="AH693" s="36"/>
    </row>
    <row r="694">
      <c r="A694" s="34"/>
      <c r="B694" s="35"/>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6"/>
      <c r="AA694" s="36"/>
      <c r="AB694" s="36"/>
      <c r="AC694" s="36"/>
      <c r="AD694" s="36"/>
      <c r="AE694" s="36"/>
      <c r="AF694" s="36"/>
      <c r="AG694" s="36"/>
      <c r="AH694" s="36"/>
    </row>
    <row r="695">
      <c r="A695" s="34"/>
      <c r="B695" s="35"/>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6"/>
      <c r="AA695" s="36"/>
      <c r="AB695" s="36"/>
      <c r="AC695" s="36"/>
      <c r="AD695" s="36"/>
      <c r="AE695" s="36"/>
      <c r="AF695" s="36"/>
      <c r="AG695" s="36"/>
      <c r="AH695" s="36"/>
    </row>
    <row r="696">
      <c r="A696" s="34"/>
      <c r="B696" s="35"/>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6"/>
      <c r="AA696" s="36"/>
      <c r="AB696" s="36"/>
      <c r="AC696" s="36"/>
      <c r="AD696" s="36"/>
      <c r="AE696" s="36"/>
      <c r="AF696" s="36"/>
      <c r="AG696" s="36"/>
      <c r="AH696" s="36"/>
    </row>
    <row r="697">
      <c r="A697" s="34"/>
      <c r="B697" s="35"/>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6"/>
      <c r="AA697" s="36"/>
      <c r="AB697" s="36"/>
      <c r="AC697" s="36"/>
      <c r="AD697" s="36"/>
      <c r="AE697" s="36"/>
      <c r="AF697" s="36"/>
      <c r="AG697" s="36"/>
      <c r="AH697" s="36"/>
    </row>
    <row r="698">
      <c r="A698" s="34"/>
      <c r="B698" s="35"/>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6"/>
      <c r="AA698" s="36"/>
      <c r="AB698" s="36"/>
      <c r="AC698" s="36"/>
      <c r="AD698" s="36"/>
      <c r="AE698" s="36"/>
      <c r="AF698" s="36"/>
      <c r="AG698" s="36"/>
      <c r="AH698" s="36"/>
    </row>
    <row r="699">
      <c r="A699" s="34"/>
      <c r="B699" s="35"/>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6"/>
      <c r="AA699" s="36"/>
      <c r="AB699" s="36"/>
      <c r="AC699" s="36"/>
      <c r="AD699" s="36"/>
      <c r="AE699" s="36"/>
      <c r="AF699" s="36"/>
      <c r="AG699" s="36"/>
      <c r="AH699" s="36"/>
    </row>
    <row r="700">
      <c r="A700" s="34"/>
      <c r="B700" s="35"/>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6"/>
      <c r="AA700" s="36"/>
      <c r="AB700" s="36"/>
      <c r="AC700" s="36"/>
      <c r="AD700" s="36"/>
      <c r="AE700" s="36"/>
      <c r="AF700" s="36"/>
      <c r="AG700" s="36"/>
      <c r="AH700" s="36"/>
    </row>
    <row r="701">
      <c r="A701" s="34"/>
      <c r="B701" s="35"/>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6"/>
      <c r="AA701" s="36"/>
      <c r="AB701" s="36"/>
      <c r="AC701" s="36"/>
      <c r="AD701" s="36"/>
      <c r="AE701" s="36"/>
      <c r="AF701" s="36"/>
      <c r="AG701" s="36"/>
      <c r="AH701" s="36"/>
    </row>
    <row r="702">
      <c r="A702" s="34"/>
      <c r="B702" s="35"/>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6"/>
      <c r="AA702" s="36"/>
      <c r="AB702" s="36"/>
      <c r="AC702" s="36"/>
      <c r="AD702" s="36"/>
      <c r="AE702" s="36"/>
      <c r="AF702" s="36"/>
      <c r="AG702" s="36"/>
      <c r="AH702" s="36"/>
    </row>
    <row r="703">
      <c r="A703" s="34"/>
      <c r="B703" s="35"/>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6"/>
      <c r="AA703" s="36"/>
      <c r="AB703" s="36"/>
      <c r="AC703" s="36"/>
      <c r="AD703" s="36"/>
      <c r="AE703" s="36"/>
      <c r="AF703" s="36"/>
      <c r="AG703" s="36"/>
      <c r="AH703" s="36"/>
    </row>
    <row r="704">
      <c r="A704" s="34"/>
      <c r="B704" s="35"/>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6"/>
      <c r="AA704" s="36"/>
      <c r="AB704" s="36"/>
      <c r="AC704" s="36"/>
      <c r="AD704" s="36"/>
      <c r="AE704" s="36"/>
      <c r="AF704" s="36"/>
      <c r="AG704" s="36"/>
      <c r="AH704" s="36"/>
    </row>
    <row r="705">
      <c r="A705" s="34"/>
      <c r="B705" s="35"/>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6"/>
      <c r="AA705" s="36"/>
      <c r="AB705" s="36"/>
      <c r="AC705" s="36"/>
      <c r="AD705" s="36"/>
      <c r="AE705" s="36"/>
      <c r="AF705" s="36"/>
      <c r="AG705" s="36"/>
      <c r="AH705" s="36"/>
    </row>
    <row r="706">
      <c r="A706" s="34"/>
      <c r="B706" s="35"/>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6"/>
      <c r="AA706" s="36"/>
      <c r="AB706" s="36"/>
      <c r="AC706" s="36"/>
      <c r="AD706" s="36"/>
      <c r="AE706" s="36"/>
      <c r="AF706" s="36"/>
      <c r="AG706" s="36"/>
      <c r="AH706" s="36"/>
    </row>
    <row r="707">
      <c r="A707" s="34"/>
      <c r="B707" s="35"/>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6"/>
      <c r="AA707" s="36"/>
      <c r="AB707" s="36"/>
      <c r="AC707" s="36"/>
      <c r="AD707" s="36"/>
      <c r="AE707" s="36"/>
      <c r="AF707" s="36"/>
      <c r="AG707" s="36"/>
      <c r="AH707" s="36"/>
    </row>
    <row r="708">
      <c r="A708" s="34"/>
      <c r="B708" s="35"/>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6"/>
      <c r="AA708" s="36"/>
      <c r="AB708" s="36"/>
      <c r="AC708" s="36"/>
      <c r="AD708" s="36"/>
      <c r="AE708" s="36"/>
      <c r="AF708" s="36"/>
      <c r="AG708" s="36"/>
      <c r="AH708" s="36"/>
    </row>
    <row r="709">
      <c r="A709" s="34"/>
      <c r="B709" s="35"/>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6"/>
      <c r="AA709" s="36"/>
      <c r="AB709" s="36"/>
      <c r="AC709" s="36"/>
      <c r="AD709" s="36"/>
      <c r="AE709" s="36"/>
      <c r="AF709" s="36"/>
      <c r="AG709" s="36"/>
      <c r="AH709" s="36"/>
    </row>
    <row r="710">
      <c r="A710" s="34"/>
      <c r="B710" s="35"/>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6"/>
      <c r="AA710" s="36"/>
      <c r="AB710" s="36"/>
      <c r="AC710" s="36"/>
      <c r="AD710" s="36"/>
      <c r="AE710" s="36"/>
      <c r="AF710" s="36"/>
      <c r="AG710" s="36"/>
      <c r="AH710" s="36"/>
    </row>
    <row r="711">
      <c r="A711" s="34"/>
      <c r="B711" s="35"/>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6"/>
      <c r="AA711" s="36"/>
      <c r="AB711" s="36"/>
      <c r="AC711" s="36"/>
      <c r="AD711" s="36"/>
      <c r="AE711" s="36"/>
      <c r="AF711" s="36"/>
      <c r="AG711" s="36"/>
      <c r="AH711" s="36"/>
    </row>
    <row r="712">
      <c r="A712" s="34"/>
      <c r="B712" s="35"/>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6"/>
      <c r="AA712" s="36"/>
      <c r="AB712" s="36"/>
      <c r="AC712" s="36"/>
      <c r="AD712" s="36"/>
      <c r="AE712" s="36"/>
      <c r="AF712" s="36"/>
      <c r="AG712" s="36"/>
      <c r="AH712" s="36"/>
    </row>
    <row r="713">
      <c r="A713" s="34"/>
      <c r="B713" s="35"/>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6"/>
      <c r="AA713" s="36"/>
      <c r="AB713" s="36"/>
      <c r="AC713" s="36"/>
      <c r="AD713" s="36"/>
      <c r="AE713" s="36"/>
      <c r="AF713" s="36"/>
      <c r="AG713" s="36"/>
      <c r="AH713" s="36"/>
    </row>
    <row r="714">
      <c r="A714" s="34"/>
      <c r="B714" s="35"/>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6"/>
      <c r="AA714" s="36"/>
      <c r="AB714" s="36"/>
      <c r="AC714" s="36"/>
      <c r="AD714" s="36"/>
      <c r="AE714" s="36"/>
      <c r="AF714" s="36"/>
      <c r="AG714" s="36"/>
      <c r="AH714" s="36"/>
    </row>
    <row r="715">
      <c r="A715" s="34"/>
      <c r="B715" s="35"/>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6"/>
      <c r="AA715" s="36"/>
      <c r="AB715" s="36"/>
      <c r="AC715" s="36"/>
      <c r="AD715" s="36"/>
      <c r="AE715" s="36"/>
      <c r="AF715" s="36"/>
      <c r="AG715" s="36"/>
      <c r="AH715" s="36"/>
    </row>
    <row r="716">
      <c r="A716" s="34"/>
      <c r="B716" s="35"/>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6"/>
      <c r="AA716" s="36"/>
      <c r="AB716" s="36"/>
      <c r="AC716" s="36"/>
      <c r="AD716" s="36"/>
      <c r="AE716" s="36"/>
      <c r="AF716" s="36"/>
      <c r="AG716" s="36"/>
      <c r="AH716" s="36"/>
    </row>
    <row r="717">
      <c r="A717" s="34"/>
      <c r="B717" s="35"/>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6"/>
      <c r="AA717" s="36"/>
      <c r="AB717" s="36"/>
      <c r="AC717" s="36"/>
      <c r="AD717" s="36"/>
      <c r="AE717" s="36"/>
      <c r="AF717" s="36"/>
      <c r="AG717" s="36"/>
      <c r="AH717" s="36"/>
    </row>
    <row r="718">
      <c r="A718" s="34"/>
      <c r="B718" s="35"/>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6"/>
      <c r="AA718" s="36"/>
      <c r="AB718" s="36"/>
      <c r="AC718" s="36"/>
      <c r="AD718" s="36"/>
      <c r="AE718" s="36"/>
      <c r="AF718" s="36"/>
      <c r="AG718" s="36"/>
      <c r="AH718" s="36"/>
    </row>
    <row r="719">
      <c r="A719" s="34"/>
      <c r="B719" s="35"/>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6"/>
      <c r="AA719" s="36"/>
      <c r="AB719" s="36"/>
      <c r="AC719" s="36"/>
      <c r="AD719" s="36"/>
      <c r="AE719" s="36"/>
      <c r="AF719" s="36"/>
      <c r="AG719" s="36"/>
      <c r="AH719" s="36"/>
    </row>
    <row r="720">
      <c r="A720" s="34"/>
      <c r="B720" s="35"/>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6"/>
      <c r="AA720" s="36"/>
      <c r="AB720" s="36"/>
      <c r="AC720" s="36"/>
      <c r="AD720" s="36"/>
      <c r="AE720" s="36"/>
      <c r="AF720" s="36"/>
      <c r="AG720" s="36"/>
      <c r="AH720" s="36"/>
    </row>
    <row r="721">
      <c r="A721" s="34"/>
      <c r="B721" s="35"/>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6"/>
      <c r="AA721" s="36"/>
      <c r="AB721" s="36"/>
      <c r="AC721" s="36"/>
      <c r="AD721" s="36"/>
      <c r="AE721" s="36"/>
      <c r="AF721" s="36"/>
      <c r="AG721" s="36"/>
      <c r="AH721" s="36"/>
    </row>
    <row r="722">
      <c r="A722" s="34"/>
      <c r="B722" s="35"/>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6"/>
      <c r="AA722" s="36"/>
      <c r="AB722" s="36"/>
      <c r="AC722" s="36"/>
      <c r="AD722" s="36"/>
      <c r="AE722" s="36"/>
      <c r="AF722" s="36"/>
      <c r="AG722" s="36"/>
      <c r="AH722" s="36"/>
    </row>
    <row r="723">
      <c r="A723" s="34"/>
      <c r="B723" s="35"/>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6"/>
      <c r="AA723" s="36"/>
      <c r="AB723" s="36"/>
      <c r="AC723" s="36"/>
      <c r="AD723" s="36"/>
      <c r="AE723" s="36"/>
      <c r="AF723" s="36"/>
      <c r="AG723" s="36"/>
      <c r="AH723" s="36"/>
    </row>
    <row r="724">
      <c r="A724" s="34"/>
      <c r="B724" s="35"/>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6"/>
      <c r="AA724" s="36"/>
      <c r="AB724" s="36"/>
      <c r="AC724" s="36"/>
      <c r="AD724" s="36"/>
      <c r="AE724" s="36"/>
      <c r="AF724" s="36"/>
      <c r="AG724" s="36"/>
      <c r="AH724" s="36"/>
    </row>
    <row r="725">
      <c r="A725" s="34"/>
      <c r="B725" s="35"/>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6"/>
      <c r="AA725" s="36"/>
      <c r="AB725" s="36"/>
      <c r="AC725" s="36"/>
      <c r="AD725" s="36"/>
      <c r="AE725" s="36"/>
      <c r="AF725" s="36"/>
      <c r="AG725" s="36"/>
      <c r="AH725" s="36"/>
    </row>
    <row r="726">
      <c r="A726" s="34"/>
      <c r="B726" s="35"/>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6"/>
      <c r="AA726" s="36"/>
      <c r="AB726" s="36"/>
      <c r="AC726" s="36"/>
      <c r="AD726" s="36"/>
      <c r="AE726" s="36"/>
      <c r="AF726" s="36"/>
      <c r="AG726" s="36"/>
      <c r="AH726" s="36"/>
    </row>
    <row r="727">
      <c r="A727" s="34"/>
      <c r="B727" s="35"/>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6"/>
      <c r="AA727" s="36"/>
      <c r="AB727" s="36"/>
      <c r="AC727" s="36"/>
      <c r="AD727" s="36"/>
      <c r="AE727" s="36"/>
      <c r="AF727" s="36"/>
      <c r="AG727" s="36"/>
      <c r="AH727" s="36"/>
    </row>
    <row r="728">
      <c r="A728" s="34"/>
      <c r="B728" s="35"/>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6"/>
      <c r="AA728" s="36"/>
      <c r="AB728" s="36"/>
      <c r="AC728" s="36"/>
      <c r="AD728" s="36"/>
      <c r="AE728" s="36"/>
      <c r="AF728" s="36"/>
      <c r="AG728" s="36"/>
      <c r="AH728" s="36"/>
    </row>
    <row r="729">
      <c r="A729" s="34"/>
      <c r="B729" s="35"/>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6"/>
      <c r="AA729" s="36"/>
      <c r="AB729" s="36"/>
      <c r="AC729" s="36"/>
      <c r="AD729" s="36"/>
      <c r="AE729" s="36"/>
      <c r="AF729" s="36"/>
      <c r="AG729" s="36"/>
      <c r="AH729" s="36"/>
    </row>
    <row r="730">
      <c r="A730" s="34"/>
      <c r="B730" s="35"/>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6"/>
      <c r="AA730" s="36"/>
      <c r="AB730" s="36"/>
      <c r="AC730" s="36"/>
      <c r="AD730" s="36"/>
      <c r="AE730" s="36"/>
      <c r="AF730" s="36"/>
      <c r="AG730" s="36"/>
      <c r="AH730" s="36"/>
    </row>
    <row r="731">
      <c r="A731" s="34"/>
      <c r="B731" s="35"/>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6"/>
      <c r="AA731" s="36"/>
      <c r="AB731" s="36"/>
      <c r="AC731" s="36"/>
      <c r="AD731" s="36"/>
      <c r="AE731" s="36"/>
      <c r="AF731" s="36"/>
      <c r="AG731" s="36"/>
      <c r="AH731" s="36"/>
    </row>
    <row r="732">
      <c r="A732" s="34"/>
      <c r="B732" s="35"/>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6"/>
      <c r="AA732" s="36"/>
      <c r="AB732" s="36"/>
      <c r="AC732" s="36"/>
      <c r="AD732" s="36"/>
      <c r="AE732" s="36"/>
      <c r="AF732" s="36"/>
      <c r="AG732" s="36"/>
      <c r="AH732" s="36"/>
    </row>
    <row r="733">
      <c r="A733" s="34"/>
      <c r="B733" s="35"/>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6"/>
      <c r="AA733" s="36"/>
      <c r="AB733" s="36"/>
      <c r="AC733" s="36"/>
      <c r="AD733" s="36"/>
      <c r="AE733" s="36"/>
      <c r="AF733" s="36"/>
      <c r="AG733" s="36"/>
      <c r="AH733" s="36"/>
    </row>
    <row r="734">
      <c r="A734" s="34"/>
      <c r="B734" s="35"/>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6"/>
      <c r="AA734" s="36"/>
      <c r="AB734" s="36"/>
      <c r="AC734" s="36"/>
      <c r="AD734" s="36"/>
      <c r="AE734" s="36"/>
      <c r="AF734" s="36"/>
      <c r="AG734" s="36"/>
      <c r="AH734" s="36"/>
    </row>
    <row r="735">
      <c r="A735" s="34"/>
      <c r="B735" s="35"/>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6"/>
      <c r="AA735" s="36"/>
      <c r="AB735" s="36"/>
      <c r="AC735" s="36"/>
      <c r="AD735" s="36"/>
      <c r="AE735" s="36"/>
      <c r="AF735" s="36"/>
      <c r="AG735" s="36"/>
      <c r="AH735" s="36"/>
    </row>
    <row r="736">
      <c r="A736" s="34"/>
      <c r="B736" s="35"/>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6"/>
      <c r="AA736" s="36"/>
      <c r="AB736" s="36"/>
      <c r="AC736" s="36"/>
      <c r="AD736" s="36"/>
      <c r="AE736" s="36"/>
      <c r="AF736" s="36"/>
      <c r="AG736" s="36"/>
      <c r="AH736" s="36"/>
    </row>
    <row r="737">
      <c r="A737" s="34"/>
      <c r="B737" s="35"/>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6"/>
      <c r="AA737" s="36"/>
      <c r="AB737" s="36"/>
      <c r="AC737" s="36"/>
      <c r="AD737" s="36"/>
      <c r="AE737" s="36"/>
      <c r="AF737" s="36"/>
      <c r="AG737" s="36"/>
      <c r="AH737" s="36"/>
    </row>
    <row r="738">
      <c r="A738" s="34"/>
      <c r="B738" s="35"/>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6"/>
      <c r="AA738" s="36"/>
      <c r="AB738" s="36"/>
      <c r="AC738" s="36"/>
      <c r="AD738" s="36"/>
      <c r="AE738" s="36"/>
      <c r="AF738" s="36"/>
      <c r="AG738" s="36"/>
      <c r="AH738" s="36"/>
    </row>
    <row r="739">
      <c r="A739" s="34"/>
      <c r="B739" s="35"/>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6"/>
      <c r="AA739" s="36"/>
      <c r="AB739" s="36"/>
      <c r="AC739" s="36"/>
      <c r="AD739" s="36"/>
      <c r="AE739" s="36"/>
      <c r="AF739" s="36"/>
      <c r="AG739" s="36"/>
      <c r="AH739" s="36"/>
    </row>
    <row r="740">
      <c r="A740" s="34"/>
      <c r="B740" s="35"/>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6"/>
      <c r="AA740" s="36"/>
      <c r="AB740" s="36"/>
      <c r="AC740" s="36"/>
      <c r="AD740" s="36"/>
      <c r="AE740" s="36"/>
      <c r="AF740" s="36"/>
      <c r="AG740" s="36"/>
      <c r="AH740" s="36"/>
    </row>
    <row r="741">
      <c r="A741" s="34"/>
      <c r="B741" s="35"/>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6"/>
      <c r="AA741" s="36"/>
      <c r="AB741" s="36"/>
      <c r="AC741" s="36"/>
      <c r="AD741" s="36"/>
      <c r="AE741" s="36"/>
      <c r="AF741" s="36"/>
      <c r="AG741" s="36"/>
      <c r="AH741" s="36"/>
    </row>
    <row r="742">
      <c r="A742" s="34"/>
      <c r="B742" s="35"/>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6"/>
      <c r="AA742" s="36"/>
      <c r="AB742" s="36"/>
      <c r="AC742" s="36"/>
      <c r="AD742" s="36"/>
      <c r="AE742" s="36"/>
      <c r="AF742" s="36"/>
      <c r="AG742" s="36"/>
      <c r="AH742" s="36"/>
    </row>
    <row r="743">
      <c r="A743" s="34"/>
      <c r="B743" s="35"/>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6"/>
      <c r="AA743" s="36"/>
      <c r="AB743" s="36"/>
      <c r="AC743" s="36"/>
      <c r="AD743" s="36"/>
      <c r="AE743" s="36"/>
      <c r="AF743" s="36"/>
      <c r="AG743" s="36"/>
      <c r="AH743" s="36"/>
    </row>
    <row r="744">
      <c r="A744" s="34"/>
      <c r="B744" s="35"/>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6"/>
      <c r="AA744" s="36"/>
      <c r="AB744" s="36"/>
      <c r="AC744" s="36"/>
      <c r="AD744" s="36"/>
      <c r="AE744" s="36"/>
      <c r="AF744" s="36"/>
      <c r="AG744" s="36"/>
      <c r="AH744" s="36"/>
    </row>
    <row r="745">
      <c r="A745" s="34"/>
      <c r="B745" s="35"/>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6"/>
      <c r="AA745" s="36"/>
      <c r="AB745" s="36"/>
      <c r="AC745" s="36"/>
      <c r="AD745" s="36"/>
      <c r="AE745" s="36"/>
      <c r="AF745" s="36"/>
      <c r="AG745" s="36"/>
      <c r="AH745" s="36"/>
    </row>
    <row r="746">
      <c r="A746" s="34"/>
      <c r="B746" s="35"/>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6"/>
      <c r="AA746" s="36"/>
      <c r="AB746" s="36"/>
      <c r="AC746" s="36"/>
      <c r="AD746" s="36"/>
      <c r="AE746" s="36"/>
      <c r="AF746" s="36"/>
      <c r="AG746" s="36"/>
      <c r="AH746" s="36"/>
    </row>
    <row r="747">
      <c r="A747" s="34"/>
      <c r="B747" s="35"/>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6"/>
      <c r="AA747" s="36"/>
      <c r="AB747" s="36"/>
      <c r="AC747" s="36"/>
      <c r="AD747" s="36"/>
      <c r="AE747" s="36"/>
      <c r="AF747" s="36"/>
      <c r="AG747" s="36"/>
      <c r="AH747" s="36"/>
    </row>
    <row r="748">
      <c r="A748" s="34"/>
      <c r="B748" s="35"/>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6"/>
      <c r="AA748" s="36"/>
      <c r="AB748" s="36"/>
      <c r="AC748" s="36"/>
      <c r="AD748" s="36"/>
      <c r="AE748" s="36"/>
      <c r="AF748" s="36"/>
      <c r="AG748" s="36"/>
      <c r="AH748" s="36"/>
    </row>
    <row r="749">
      <c r="A749" s="34"/>
      <c r="B749" s="35"/>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6"/>
      <c r="AA749" s="36"/>
      <c r="AB749" s="36"/>
      <c r="AC749" s="36"/>
      <c r="AD749" s="36"/>
      <c r="AE749" s="36"/>
      <c r="AF749" s="36"/>
      <c r="AG749" s="36"/>
      <c r="AH749" s="36"/>
    </row>
    <row r="750">
      <c r="A750" s="34"/>
      <c r="B750" s="35"/>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6"/>
      <c r="AA750" s="36"/>
      <c r="AB750" s="36"/>
      <c r="AC750" s="36"/>
      <c r="AD750" s="36"/>
      <c r="AE750" s="36"/>
      <c r="AF750" s="36"/>
      <c r="AG750" s="36"/>
      <c r="AH750" s="36"/>
    </row>
    <row r="751">
      <c r="A751" s="34"/>
      <c r="B751" s="35"/>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6"/>
      <c r="AA751" s="36"/>
      <c r="AB751" s="36"/>
      <c r="AC751" s="36"/>
      <c r="AD751" s="36"/>
      <c r="AE751" s="36"/>
      <c r="AF751" s="36"/>
      <c r="AG751" s="36"/>
      <c r="AH751" s="36"/>
    </row>
    <row r="752">
      <c r="A752" s="34"/>
      <c r="B752" s="35"/>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6"/>
      <c r="AA752" s="36"/>
      <c r="AB752" s="36"/>
      <c r="AC752" s="36"/>
      <c r="AD752" s="36"/>
      <c r="AE752" s="36"/>
      <c r="AF752" s="36"/>
      <c r="AG752" s="36"/>
      <c r="AH752" s="36"/>
    </row>
    <row r="753">
      <c r="A753" s="34"/>
      <c r="B753" s="35"/>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6"/>
      <c r="AA753" s="36"/>
      <c r="AB753" s="36"/>
      <c r="AC753" s="36"/>
      <c r="AD753" s="36"/>
      <c r="AE753" s="36"/>
      <c r="AF753" s="36"/>
      <c r="AG753" s="36"/>
      <c r="AH753" s="36"/>
    </row>
    <row r="754">
      <c r="A754" s="34"/>
      <c r="B754" s="35"/>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6"/>
      <c r="AA754" s="36"/>
      <c r="AB754" s="36"/>
      <c r="AC754" s="36"/>
      <c r="AD754" s="36"/>
      <c r="AE754" s="36"/>
      <c r="AF754" s="36"/>
      <c r="AG754" s="36"/>
      <c r="AH754" s="36"/>
    </row>
    <row r="755">
      <c r="A755" s="34"/>
      <c r="B755" s="35"/>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6"/>
      <c r="AA755" s="36"/>
      <c r="AB755" s="36"/>
      <c r="AC755" s="36"/>
      <c r="AD755" s="36"/>
      <c r="AE755" s="36"/>
      <c r="AF755" s="36"/>
      <c r="AG755" s="36"/>
      <c r="AH755" s="36"/>
    </row>
    <row r="756">
      <c r="A756" s="34"/>
      <c r="B756" s="35"/>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6"/>
      <c r="AA756" s="36"/>
      <c r="AB756" s="36"/>
      <c r="AC756" s="36"/>
      <c r="AD756" s="36"/>
      <c r="AE756" s="36"/>
      <c r="AF756" s="36"/>
      <c r="AG756" s="36"/>
      <c r="AH756" s="36"/>
    </row>
    <row r="757">
      <c r="A757" s="34"/>
      <c r="B757" s="35"/>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6"/>
      <c r="AA757" s="36"/>
      <c r="AB757" s="36"/>
      <c r="AC757" s="36"/>
      <c r="AD757" s="36"/>
      <c r="AE757" s="36"/>
      <c r="AF757" s="36"/>
      <c r="AG757" s="36"/>
      <c r="AH757" s="36"/>
    </row>
    <row r="758">
      <c r="A758" s="34"/>
      <c r="B758" s="35"/>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6"/>
      <c r="AA758" s="36"/>
      <c r="AB758" s="36"/>
      <c r="AC758" s="36"/>
      <c r="AD758" s="36"/>
      <c r="AE758" s="36"/>
      <c r="AF758" s="36"/>
      <c r="AG758" s="36"/>
      <c r="AH758" s="36"/>
    </row>
    <row r="759">
      <c r="A759" s="34"/>
      <c r="B759" s="35"/>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6"/>
      <c r="AA759" s="36"/>
      <c r="AB759" s="36"/>
      <c r="AC759" s="36"/>
      <c r="AD759" s="36"/>
      <c r="AE759" s="36"/>
      <c r="AF759" s="36"/>
      <c r="AG759" s="36"/>
      <c r="AH759" s="36"/>
    </row>
    <row r="760">
      <c r="A760" s="34"/>
      <c r="B760" s="35"/>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6"/>
      <c r="AA760" s="36"/>
      <c r="AB760" s="36"/>
      <c r="AC760" s="36"/>
      <c r="AD760" s="36"/>
      <c r="AE760" s="36"/>
      <c r="AF760" s="36"/>
      <c r="AG760" s="36"/>
      <c r="AH760" s="36"/>
    </row>
    <row r="761">
      <c r="A761" s="34"/>
      <c r="B761" s="35"/>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6"/>
      <c r="AA761" s="36"/>
      <c r="AB761" s="36"/>
      <c r="AC761" s="36"/>
      <c r="AD761" s="36"/>
      <c r="AE761" s="36"/>
      <c r="AF761" s="36"/>
      <c r="AG761" s="36"/>
      <c r="AH761" s="36"/>
    </row>
    <row r="762">
      <c r="A762" s="34"/>
      <c r="B762" s="35"/>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6"/>
      <c r="AA762" s="36"/>
      <c r="AB762" s="36"/>
      <c r="AC762" s="36"/>
      <c r="AD762" s="36"/>
      <c r="AE762" s="36"/>
      <c r="AF762" s="36"/>
      <c r="AG762" s="36"/>
      <c r="AH762" s="36"/>
    </row>
    <row r="763">
      <c r="A763" s="34"/>
      <c r="B763" s="35"/>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6"/>
      <c r="AA763" s="36"/>
      <c r="AB763" s="36"/>
      <c r="AC763" s="36"/>
      <c r="AD763" s="36"/>
      <c r="AE763" s="36"/>
      <c r="AF763" s="36"/>
      <c r="AG763" s="36"/>
      <c r="AH763" s="36"/>
    </row>
    <row r="764">
      <c r="A764" s="34"/>
      <c r="B764" s="35"/>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6"/>
      <c r="AA764" s="36"/>
      <c r="AB764" s="36"/>
      <c r="AC764" s="36"/>
      <c r="AD764" s="36"/>
      <c r="AE764" s="36"/>
      <c r="AF764" s="36"/>
      <c r="AG764" s="36"/>
      <c r="AH764" s="36"/>
    </row>
    <row r="765">
      <c r="A765" s="34"/>
      <c r="B765" s="35"/>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6"/>
      <c r="AA765" s="36"/>
      <c r="AB765" s="36"/>
      <c r="AC765" s="36"/>
      <c r="AD765" s="36"/>
      <c r="AE765" s="36"/>
      <c r="AF765" s="36"/>
      <c r="AG765" s="36"/>
      <c r="AH765" s="36"/>
    </row>
    <row r="766">
      <c r="A766" s="34"/>
      <c r="B766" s="35"/>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6"/>
      <c r="AA766" s="36"/>
      <c r="AB766" s="36"/>
      <c r="AC766" s="36"/>
      <c r="AD766" s="36"/>
      <c r="AE766" s="36"/>
      <c r="AF766" s="36"/>
      <c r="AG766" s="36"/>
      <c r="AH766" s="36"/>
    </row>
    <row r="767">
      <c r="A767" s="34"/>
      <c r="B767" s="35"/>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6"/>
      <c r="AA767" s="36"/>
      <c r="AB767" s="36"/>
      <c r="AC767" s="36"/>
      <c r="AD767" s="36"/>
      <c r="AE767" s="36"/>
      <c r="AF767" s="36"/>
      <c r="AG767" s="36"/>
      <c r="AH767" s="36"/>
    </row>
    <row r="768">
      <c r="A768" s="34"/>
      <c r="B768" s="35"/>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6"/>
      <c r="AA768" s="36"/>
      <c r="AB768" s="36"/>
      <c r="AC768" s="36"/>
      <c r="AD768" s="36"/>
      <c r="AE768" s="36"/>
      <c r="AF768" s="36"/>
      <c r="AG768" s="36"/>
      <c r="AH768" s="36"/>
    </row>
    <row r="769">
      <c r="A769" s="34"/>
      <c r="B769" s="35"/>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6"/>
      <c r="AA769" s="36"/>
      <c r="AB769" s="36"/>
      <c r="AC769" s="36"/>
      <c r="AD769" s="36"/>
      <c r="AE769" s="36"/>
      <c r="AF769" s="36"/>
      <c r="AG769" s="36"/>
      <c r="AH769" s="36"/>
    </row>
    <row r="770">
      <c r="A770" s="34"/>
      <c r="B770" s="35"/>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6"/>
      <c r="AA770" s="36"/>
      <c r="AB770" s="36"/>
      <c r="AC770" s="36"/>
      <c r="AD770" s="36"/>
      <c r="AE770" s="36"/>
      <c r="AF770" s="36"/>
      <c r="AG770" s="36"/>
      <c r="AH770" s="36"/>
    </row>
    <row r="771">
      <c r="A771" s="34"/>
      <c r="B771" s="35"/>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6"/>
      <c r="AA771" s="36"/>
      <c r="AB771" s="36"/>
      <c r="AC771" s="36"/>
      <c r="AD771" s="36"/>
      <c r="AE771" s="36"/>
      <c r="AF771" s="36"/>
      <c r="AG771" s="36"/>
      <c r="AH771" s="36"/>
    </row>
    <row r="772">
      <c r="A772" s="34"/>
      <c r="B772" s="35"/>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6"/>
      <c r="AA772" s="36"/>
      <c r="AB772" s="36"/>
      <c r="AC772" s="36"/>
      <c r="AD772" s="36"/>
      <c r="AE772" s="36"/>
      <c r="AF772" s="36"/>
      <c r="AG772" s="36"/>
      <c r="AH772" s="36"/>
    </row>
    <row r="773">
      <c r="A773" s="34"/>
      <c r="B773" s="35"/>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6"/>
      <c r="AA773" s="36"/>
      <c r="AB773" s="36"/>
      <c r="AC773" s="36"/>
      <c r="AD773" s="36"/>
      <c r="AE773" s="36"/>
      <c r="AF773" s="36"/>
      <c r="AG773" s="36"/>
      <c r="AH773" s="36"/>
    </row>
    <row r="774">
      <c r="A774" s="34"/>
      <c r="B774" s="35"/>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6"/>
      <c r="AA774" s="36"/>
      <c r="AB774" s="36"/>
      <c r="AC774" s="36"/>
      <c r="AD774" s="36"/>
      <c r="AE774" s="36"/>
      <c r="AF774" s="36"/>
      <c r="AG774" s="36"/>
      <c r="AH774" s="36"/>
    </row>
    <row r="775">
      <c r="A775" s="34"/>
      <c r="B775" s="35"/>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6"/>
      <c r="AA775" s="36"/>
      <c r="AB775" s="36"/>
      <c r="AC775" s="36"/>
      <c r="AD775" s="36"/>
      <c r="AE775" s="36"/>
      <c r="AF775" s="36"/>
      <c r="AG775" s="36"/>
      <c r="AH775" s="36"/>
    </row>
    <row r="776">
      <c r="A776" s="34"/>
      <c r="B776" s="35"/>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6"/>
      <c r="AA776" s="36"/>
      <c r="AB776" s="36"/>
      <c r="AC776" s="36"/>
      <c r="AD776" s="36"/>
      <c r="AE776" s="36"/>
      <c r="AF776" s="36"/>
      <c r="AG776" s="36"/>
      <c r="AH776" s="36"/>
    </row>
    <row r="777">
      <c r="A777" s="34"/>
      <c r="B777" s="35"/>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6"/>
      <c r="AA777" s="36"/>
      <c r="AB777" s="36"/>
      <c r="AC777" s="36"/>
      <c r="AD777" s="36"/>
      <c r="AE777" s="36"/>
      <c r="AF777" s="36"/>
      <c r="AG777" s="36"/>
      <c r="AH777" s="36"/>
    </row>
    <row r="778">
      <c r="A778" s="34"/>
      <c r="B778" s="35"/>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6"/>
      <c r="AA778" s="36"/>
      <c r="AB778" s="36"/>
      <c r="AC778" s="36"/>
      <c r="AD778" s="36"/>
      <c r="AE778" s="36"/>
      <c r="AF778" s="36"/>
      <c r="AG778" s="36"/>
      <c r="AH778" s="36"/>
    </row>
    <row r="779">
      <c r="A779" s="34"/>
      <c r="B779" s="35"/>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6"/>
      <c r="AA779" s="36"/>
      <c r="AB779" s="36"/>
      <c r="AC779" s="36"/>
      <c r="AD779" s="36"/>
      <c r="AE779" s="36"/>
      <c r="AF779" s="36"/>
      <c r="AG779" s="36"/>
      <c r="AH779" s="36"/>
    </row>
    <row r="780">
      <c r="A780" s="34"/>
      <c r="B780" s="35"/>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6"/>
      <c r="AA780" s="36"/>
      <c r="AB780" s="36"/>
      <c r="AC780" s="36"/>
      <c r="AD780" s="36"/>
      <c r="AE780" s="36"/>
      <c r="AF780" s="36"/>
      <c r="AG780" s="36"/>
      <c r="AH780" s="36"/>
    </row>
    <row r="781">
      <c r="A781" s="34"/>
      <c r="B781" s="35"/>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6"/>
      <c r="AA781" s="36"/>
      <c r="AB781" s="36"/>
      <c r="AC781" s="36"/>
      <c r="AD781" s="36"/>
      <c r="AE781" s="36"/>
      <c r="AF781" s="36"/>
      <c r="AG781" s="36"/>
      <c r="AH781" s="36"/>
    </row>
    <row r="782">
      <c r="A782" s="34"/>
      <c r="B782" s="35"/>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6"/>
      <c r="AA782" s="36"/>
      <c r="AB782" s="36"/>
      <c r="AC782" s="36"/>
      <c r="AD782" s="36"/>
      <c r="AE782" s="36"/>
      <c r="AF782" s="36"/>
      <c r="AG782" s="36"/>
      <c r="AH782" s="36"/>
    </row>
    <row r="783">
      <c r="A783" s="34"/>
      <c r="B783" s="35"/>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6"/>
      <c r="AA783" s="36"/>
      <c r="AB783" s="36"/>
      <c r="AC783" s="36"/>
      <c r="AD783" s="36"/>
      <c r="AE783" s="36"/>
      <c r="AF783" s="36"/>
      <c r="AG783" s="36"/>
      <c r="AH783" s="36"/>
    </row>
    <row r="784">
      <c r="A784" s="34"/>
      <c r="B784" s="35"/>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6"/>
      <c r="AA784" s="36"/>
      <c r="AB784" s="36"/>
      <c r="AC784" s="36"/>
      <c r="AD784" s="36"/>
      <c r="AE784" s="36"/>
      <c r="AF784" s="36"/>
      <c r="AG784" s="36"/>
      <c r="AH784" s="36"/>
    </row>
    <row r="785">
      <c r="A785" s="34"/>
      <c r="B785" s="35"/>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6"/>
      <c r="AA785" s="36"/>
      <c r="AB785" s="36"/>
      <c r="AC785" s="36"/>
      <c r="AD785" s="36"/>
      <c r="AE785" s="36"/>
      <c r="AF785" s="36"/>
      <c r="AG785" s="36"/>
      <c r="AH785" s="36"/>
    </row>
    <row r="786">
      <c r="A786" s="34"/>
      <c r="B786" s="35"/>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6"/>
      <c r="AA786" s="36"/>
      <c r="AB786" s="36"/>
      <c r="AC786" s="36"/>
      <c r="AD786" s="36"/>
      <c r="AE786" s="36"/>
      <c r="AF786" s="36"/>
      <c r="AG786" s="36"/>
      <c r="AH786" s="36"/>
    </row>
    <row r="787">
      <c r="A787" s="34"/>
      <c r="B787" s="35"/>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6"/>
      <c r="AA787" s="36"/>
      <c r="AB787" s="36"/>
      <c r="AC787" s="36"/>
      <c r="AD787" s="36"/>
      <c r="AE787" s="36"/>
      <c r="AF787" s="36"/>
      <c r="AG787" s="36"/>
      <c r="AH787" s="36"/>
    </row>
    <row r="788">
      <c r="A788" s="34"/>
      <c r="B788" s="35"/>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6"/>
      <c r="AA788" s="36"/>
      <c r="AB788" s="36"/>
      <c r="AC788" s="36"/>
      <c r="AD788" s="36"/>
      <c r="AE788" s="36"/>
      <c r="AF788" s="36"/>
      <c r="AG788" s="36"/>
      <c r="AH788" s="36"/>
    </row>
    <row r="789">
      <c r="A789" s="34"/>
      <c r="B789" s="35"/>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6"/>
      <c r="AA789" s="36"/>
      <c r="AB789" s="36"/>
      <c r="AC789" s="36"/>
      <c r="AD789" s="36"/>
      <c r="AE789" s="36"/>
      <c r="AF789" s="36"/>
      <c r="AG789" s="36"/>
      <c r="AH789" s="36"/>
    </row>
    <row r="790">
      <c r="A790" s="34"/>
      <c r="B790" s="35"/>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6"/>
      <c r="AA790" s="36"/>
      <c r="AB790" s="36"/>
      <c r="AC790" s="36"/>
      <c r="AD790" s="36"/>
      <c r="AE790" s="36"/>
      <c r="AF790" s="36"/>
      <c r="AG790" s="36"/>
      <c r="AH790" s="36"/>
    </row>
    <row r="791">
      <c r="A791" s="34"/>
      <c r="B791" s="35"/>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6"/>
      <c r="AA791" s="36"/>
      <c r="AB791" s="36"/>
      <c r="AC791" s="36"/>
      <c r="AD791" s="36"/>
      <c r="AE791" s="36"/>
      <c r="AF791" s="36"/>
      <c r="AG791" s="36"/>
      <c r="AH791" s="36"/>
    </row>
    <row r="792">
      <c r="A792" s="34"/>
      <c r="B792" s="35"/>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6"/>
      <c r="AA792" s="36"/>
      <c r="AB792" s="36"/>
      <c r="AC792" s="36"/>
      <c r="AD792" s="36"/>
      <c r="AE792" s="36"/>
      <c r="AF792" s="36"/>
      <c r="AG792" s="36"/>
      <c r="AH792" s="36"/>
    </row>
    <row r="793">
      <c r="A793" s="34"/>
      <c r="B793" s="35"/>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6"/>
      <c r="AA793" s="36"/>
      <c r="AB793" s="36"/>
      <c r="AC793" s="36"/>
      <c r="AD793" s="36"/>
      <c r="AE793" s="36"/>
      <c r="AF793" s="36"/>
      <c r="AG793" s="36"/>
      <c r="AH793" s="36"/>
    </row>
    <row r="794">
      <c r="A794" s="34"/>
      <c r="B794" s="35"/>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6"/>
      <c r="AA794" s="36"/>
      <c r="AB794" s="36"/>
      <c r="AC794" s="36"/>
      <c r="AD794" s="36"/>
      <c r="AE794" s="36"/>
      <c r="AF794" s="36"/>
      <c r="AG794" s="36"/>
      <c r="AH794" s="36"/>
    </row>
    <row r="795">
      <c r="A795" s="34"/>
      <c r="B795" s="35"/>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6"/>
      <c r="AA795" s="36"/>
      <c r="AB795" s="36"/>
      <c r="AC795" s="36"/>
      <c r="AD795" s="36"/>
      <c r="AE795" s="36"/>
      <c r="AF795" s="36"/>
      <c r="AG795" s="36"/>
      <c r="AH795" s="36"/>
    </row>
    <row r="796">
      <c r="A796" s="34"/>
      <c r="B796" s="35"/>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6"/>
      <c r="AA796" s="36"/>
      <c r="AB796" s="36"/>
      <c r="AC796" s="36"/>
      <c r="AD796" s="36"/>
      <c r="AE796" s="36"/>
      <c r="AF796" s="36"/>
      <c r="AG796" s="36"/>
      <c r="AH796" s="36"/>
    </row>
    <row r="797">
      <c r="A797" s="34"/>
      <c r="B797" s="35"/>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6"/>
      <c r="AA797" s="36"/>
      <c r="AB797" s="36"/>
      <c r="AC797" s="36"/>
      <c r="AD797" s="36"/>
      <c r="AE797" s="36"/>
      <c r="AF797" s="36"/>
      <c r="AG797" s="36"/>
      <c r="AH797" s="36"/>
    </row>
    <row r="798">
      <c r="A798" s="34"/>
      <c r="B798" s="35"/>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6"/>
      <c r="AA798" s="36"/>
      <c r="AB798" s="36"/>
      <c r="AC798" s="36"/>
      <c r="AD798" s="36"/>
      <c r="AE798" s="36"/>
      <c r="AF798" s="36"/>
      <c r="AG798" s="36"/>
      <c r="AH798" s="36"/>
    </row>
    <row r="799">
      <c r="A799" s="34"/>
      <c r="B799" s="35"/>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6"/>
      <c r="AA799" s="36"/>
      <c r="AB799" s="36"/>
      <c r="AC799" s="36"/>
      <c r="AD799" s="36"/>
      <c r="AE799" s="36"/>
      <c r="AF799" s="36"/>
      <c r="AG799" s="36"/>
      <c r="AH799" s="36"/>
    </row>
    <row r="800">
      <c r="A800" s="34"/>
      <c r="B800" s="35"/>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6"/>
      <c r="AA800" s="36"/>
      <c r="AB800" s="36"/>
      <c r="AC800" s="36"/>
      <c r="AD800" s="36"/>
      <c r="AE800" s="36"/>
      <c r="AF800" s="36"/>
      <c r="AG800" s="36"/>
      <c r="AH800" s="36"/>
    </row>
    <row r="801">
      <c r="A801" s="34"/>
      <c r="B801" s="35"/>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6"/>
      <c r="AA801" s="36"/>
      <c r="AB801" s="36"/>
      <c r="AC801" s="36"/>
      <c r="AD801" s="36"/>
      <c r="AE801" s="36"/>
      <c r="AF801" s="36"/>
      <c r="AG801" s="36"/>
      <c r="AH801" s="36"/>
    </row>
    <row r="802">
      <c r="A802" s="34"/>
      <c r="B802" s="35"/>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6"/>
      <c r="AA802" s="36"/>
      <c r="AB802" s="36"/>
      <c r="AC802" s="36"/>
      <c r="AD802" s="36"/>
      <c r="AE802" s="36"/>
      <c r="AF802" s="36"/>
      <c r="AG802" s="36"/>
      <c r="AH802" s="36"/>
    </row>
    <row r="803">
      <c r="A803" s="34"/>
      <c r="B803" s="35"/>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6"/>
      <c r="AA803" s="36"/>
      <c r="AB803" s="36"/>
      <c r="AC803" s="36"/>
      <c r="AD803" s="36"/>
      <c r="AE803" s="36"/>
      <c r="AF803" s="36"/>
      <c r="AG803" s="36"/>
      <c r="AH803" s="36"/>
    </row>
    <row r="804">
      <c r="A804" s="34"/>
      <c r="B804" s="35"/>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6"/>
      <c r="AA804" s="36"/>
      <c r="AB804" s="36"/>
      <c r="AC804" s="36"/>
      <c r="AD804" s="36"/>
      <c r="AE804" s="36"/>
      <c r="AF804" s="36"/>
      <c r="AG804" s="36"/>
      <c r="AH804" s="36"/>
    </row>
    <row r="805">
      <c r="A805" s="34"/>
      <c r="B805" s="35"/>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6"/>
      <c r="AA805" s="36"/>
      <c r="AB805" s="36"/>
      <c r="AC805" s="36"/>
      <c r="AD805" s="36"/>
      <c r="AE805" s="36"/>
      <c r="AF805" s="36"/>
      <c r="AG805" s="36"/>
      <c r="AH805" s="36"/>
    </row>
    <row r="806">
      <c r="A806" s="34"/>
      <c r="B806" s="35"/>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6"/>
      <c r="AA806" s="36"/>
      <c r="AB806" s="36"/>
      <c r="AC806" s="36"/>
      <c r="AD806" s="36"/>
      <c r="AE806" s="36"/>
      <c r="AF806" s="36"/>
      <c r="AG806" s="36"/>
      <c r="AH806" s="36"/>
    </row>
    <row r="807">
      <c r="A807" s="34"/>
      <c r="B807" s="35"/>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6"/>
      <c r="AA807" s="36"/>
      <c r="AB807" s="36"/>
      <c r="AC807" s="36"/>
      <c r="AD807" s="36"/>
      <c r="AE807" s="36"/>
      <c r="AF807" s="36"/>
      <c r="AG807" s="36"/>
      <c r="AH807" s="36"/>
    </row>
    <row r="808">
      <c r="A808" s="34"/>
      <c r="B808" s="35"/>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6"/>
      <c r="AA808" s="36"/>
      <c r="AB808" s="36"/>
      <c r="AC808" s="36"/>
      <c r="AD808" s="36"/>
      <c r="AE808" s="36"/>
      <c r="AF808" s="36"/>
      <c r="AG808" s="36"/>
      <c r="AH808" s="36"/>
    </row>
    <row r="809">
      <c r="A809" s="34"/>
      <c r="B809" s="35"/>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6"/>
      <c r="AA809" s="36"/>
      <c r="AB809" s="36"/>
      <c r="AC809" s="36"/>
      <c r="AD809" s="36"/>
      <c r="AE809" s="36"/>
      <c r="AF809" s="36"/>
      <c r="AG809" s="36"/>
      <c r="AH809" s="36"/>
    </row>
    <row r="810">
      <c r="A810" s="34"/>
      <c r="B810" s="35"/>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6"/>
      <c r="AA810" s="36"/>
      <c r="AB810" s="36"/>
      <c r="AC810" s="36"/>
      <c r="AD810" s="36"/>
      <c r="AE810" s="36"/>
      <c r="AF810" s="36"/>
      <c r="AG810" s="36"/>
      <c r="AH810" s="36"/>
    </row>
    <row r="811">
      <c r="A811" s="34"/>
      <c r="B811" s="35"/>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6"/>
      <c r="AA811" s="36"/>
      <c r="AB811" s="36"/>
      <c r="AC811" s="36"/>
      <c r="AD811" s="36"/>
      <c r="AE811" s="36"/>
      <c r="AF811" s="36"/>
      <c r="AG811" s="36"/>
      <c r="AH811" s="36"/>
    </row>
    <row r="812">
      <c r="A812" s="34"/>
      <c r="B812" s="35"/>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6"/>
      <c r="AA812" s="36"/>
      <c r="AB812" s="36"/>
      <c r="AC812" s="36"/>
      <c r="AD812" s="36"/>
      <c r="AE812" s="36"/>
      <c r="AF812" s="36"/>
      <c r="AG812" s="36"/>
      <c r="AH812" s="36"/>
    </row>
    <row r="813">
      <c r="A813" s="34"/>
      <c r="B813" s="35"/>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6"/>
      <c r="AA813" s="36"/>
      <c r="AB813" s="36"/>
      <c r="AC813" s="36"/>
      <c r="AD813" s="36"/>
      <c r="AE813" s="36"/>
      <c r="AF813" s="36"/>
      <c r="AG813" s="36"/>
      <c r="AH813" s="36"/>
    </row>
    <row r="814">
      <c r="A814" s="34"/>
      <c r="B814" s="35"/>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6"/>
      <c r="AA814" s="36"/>
      <c r="AB814" s="36"/>
      <c r="AC814" s="36"/>
      <c r="AD814" s="36"/>
      <c r="AE814" s="36"/>
      <c r="AF814" s="36"/>
      <c r="AG814" s="36"/>
      <c r="AH814" s="36"/>
    </row>
    <row r="815">
      <c r="A815" s="34"/>
      <c r="B815" s="35"/>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6"/>
      <c r="AA815" s="36"/>
      <c r="AB815" s="36"/>
      <c r="AC815" s="36"/>
      <c r="AD815" s="36"/>
      <c r="AE815" s="36"/>
      <c r="AF815" s="36"/>
      <c r="AG815" s="36"/>
      <c r="AH815" s="36"/>
    </row>
    <row r="816">
      <c r="A816" s="34"/>
      <c r="B816" s="35"/>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6"/>
      <c r="AA816" s="36"/>
      <c r="AB816" s="36"/>
      <c r="AC816" s="36"/>
      <c r="AD816" s="36"/>
      <c r="AE816" s="36"/>
      <c r="AF816" s="36"/>
      <c r="AG816" s="36"/>
      <c r="AH816" s="36"/>
    </row>
    <row r="817">
      <c r="A817" s="34"/>
      <c r="B817" s="35"/>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6"/>
      <c r="AA817" s="36"/>
      <c r="AB817" s="36"/>
      <c r="AC817" s="36"/>
      <c r="AD817" s="36"/>
      <c r="AE817" s="36"/>
      <c r="AF817" s="36"/>
      <c r="AG817" s="36"/>
      <c r="AH817" s="36"/>
    </row>
    <row r="818">
      <c r="A818" s="34"/>
      <c r="B818" s="35"/>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6"/>
      <c r="AA818" s="36"/>
      <c r="AB818" s="36"/>
      <c r="AC818" s="36"/>
      <c r="AD818" s="36"/>
      <c r="AE818" s="36"/>
      <c r="AF818" s="36"/>
      <c r="AG818" s="36"/>
      <c r="AH818" s="36"/>
    </row>
    <row r="819">
      <c r="A819" s="34"/>
      <c r="B819" s="35"/>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6"/>
      <c r="AA819" s="36"/>
      <c r="AB819" s="36"/>
      <c r="AC819" s="36"/>
      <c r="AD819" s="36"/>
      <c r="AE819" s="36"/>
      <c r="AF819" s="36"/>
      <c r="AG819" s="36"/>
      <c r="AH819" s="36"/>
    </row>
    <row r="820">
      <c r="A820" s="34"/>
      <c r="B820" s="35"/>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6"/>
      <c r="AA820" s="36"/>
      <c r="AB820" s="36"/>
      <c r="AC820" s="36"/>
      <c r="AD820" s="36"/>
      <c r="AE820" s="36"/>
      <c r="AF820" s="36"/>
      <c r="AG820" s="36"/>
      <c r="AH820" s="36"/>
    </row>
    <row r="821">
      <c r="A821" s="34"/>
      <c r="B821" s="35"/>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6"/>
      <c r="AA821" s="36"/>
      <c r="AB821" s="36"/>
      <c r="AC821" s="36"/>
      <c r="AD821" s="36"/>
      <c r="AE821" s="36"/>
      <c r="AF821" s="36"/>
      <c r="AG821" s="36"/>
      <c r="AH821" s="36"/>
    </row>
    <row r="822">
      <c r="A822" s="34"/>
      <c r="B822" s="35"/>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6"/>
      <c r="AA822" s="36"/>
      <c r="AB822" s="36"/>
      <c r="AC822" s="36"/>
      <c r="AD822" s="36"/>
      <c r="AE822" s="36"/>
      <c r="AF822" s="36"/>
      <c r="AG822" s="36"/>
      <c r="AH822" s="36"/>
    </row>
    <row r="823">
      <c r="A823" s="34"/>
      <c r="B823" s="35"/>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6"/>
      <c r="AA823" s="36"/>
      <c r="AB823" s="36"/>
      <c r="AC823" s="36"/>
      <c r="AD823" s="36"/>
      <c r="AE823" s="36"/>
      <c r="AF823" s="36"/>
      <c r="AG823" s="36"/>
      <c r="AH823" s="36"/>
    </row>
    <row r="824">
      <c r="A824" s="34"/>
      <c r="B824" s="35"/>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6"/>
      <c r="AA824" s="36"/>
      <c r="AB824" s="36"/>
      <c r="AC824" s="36"/>
      <c r="AD824" s="36"/>
      <c r="AE824" s="36"/>
      <c r="AF824" s="36"/>
      <c r="AG824" s="36"/>
      <c r="AH824" s="36"/>
    </row>
    <row r="825">
      <c r="A825" s="34"/>
      <c r="B825" s="35"/>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6"/>
      <c r="AA825" s="36"/>
      <c r="AB825" s="36"/>
      <c r="AC825" s="36"/>
      <c r="AD825" s="36"/>
      <c r="AE825" s="36"/>
      <c r="AF825" s="36"/>
      <c r="AG825" s="36"/>
      <c r="AH825" s="36"/>
    </row>
    <row r="826">
      <c r="A826" s="34"/>
      <c r="B826" s="35"/>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6"/>
      <c r="AA826" s="36"/>
      <c r="AB826" s="36"/>
      <c r="AC826" s="36"/>
      <c r="AD826" s="36"/>
      <c r="AE826" s="36"/>
      <c r="AF826" s="36"/>
      <c r="AG826" s="36"/>
      <c r="AH826" s="36"/>
    </row>
    <row r="827">
      <c r="A827" s="34"/>
      <c r="B827" s="35"/>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6"/>
      <c r="AA827" s="36"/>
      <c r="AB827" s="36"/>
      <c r="AC827" s="36"/>
      <c r="AD827" s="36"/>
      <c r="AE827" s="36"/>
      <c r="AF827" s="36"/>
      <c r="AG827" s="36"/>
      <c r="AH827" s="36"/>
    </row>
    <row r="828">
      <c r="A828" s="34"/>
      <c r="B828" s="35"/>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6"/>
      <c r="AA828" s="36"/>
      <c r="AB828" s="36"/>
      <c r="AC828" s="36"/>
      <c r="AD828" s="36"/>
      <c r="AE828" s="36"/>
      <c r="AF828" s="36"/>
      <c r="AG828" s="36"/>
      <c r="AH828" s="36"/>
    </row>
    <row r="829">
      <c r="A829" s="34"/>
      <c r="B829" s="35"/>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6"/>
      <c r="AA829" s="36"/>
      <c r="AB829" s="36"/>
      <c r="AC829" s="36"/>
      <c r="AD829" s="36"/>
      <c r="AE829" s="36"/>
      <c r="AF829" s="36"/>
      <c r="AG829" s="36"/>
      <c r="AH829" s="36"/>
    </row>
    <row r="830">
      <c r="A830" s="34"/>
      <c r="B830" s="35"/>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6"/>
      <c r="AA830" s="36"/>
      <c r="AB830" s="36"/>
      <c r="AC830" s="36"/>
      <c r="AD830" s="36"/>
      <c r="AE830" s="36"/>
      <c r="AF830" s="36"/>
      <c r="AG830" s="36"/>
      <c r="AH830" s="36"/>
    </row>
    <row r="831">
      <c r="A831" s="34"/>
      <c r="B831" s="35"/>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6"/>
      <c r="AA831" s="36"/>
      <c r="AB831" s="36"/>
      <c r="AC831" s="36"/>
      <c r="AD831" s="36"/>
      <c r="AE831" s="36"/>
      <c r="AF831" s="36"/>
      <c r="AG831" s="36"/>
      <c r="AH831" s="36"/>
    </row>
    <row r="832">
      <c r="A832" s="34"/>
      <c r="B832" s="35"/>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6"/>
      <c r="AA832" s="36"/>
      <c r="AB832" s="36"/>
      <c r="AC832" s="36"/>
      <c r="AD832" s="36"/>
      <c r="AE832" s="36"/>
      <c r="AF832" s="36"/>
      <c r="AG832" s="36"/>
      <c r="AH832" s="36"/>
    </row>
    <row r="833">
      <c r="A833" s="34"/>
      <c r="B833" s="35"/>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6"/>
      <c r="AA833" s="36"/>
      <c r="AB833" s="36"/>
      <c r="AC833" s="36"/>
      <c r="AD833" s="36"/>
      <c r="AE833" s="36"/>
      <c r="AF833" s="36"/>
      <c r="AG833" s="36"/>
      <c r="AH833" s="36"/>
    </row>
    <row r="834">
      <c r="A834" s="34"/>
      <c r="B834" s="35"/>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6"/>
      <c r="AA834" s="36"/>
      <c r="AB834" s="36"/>
      <c r="AC834" s="36"/>
      <c r="AD834" s="36"/>
      <c r="AE834" s="36"/>
      <c r="AF834" s="36"/>
      <c r="AG834" s="36"/>
      <c r="AH834" s="36"/>
    </row>
    <row r="835">
      <c r="A835" s="34"/>
      <c r="B835" s="35"/>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6"/>
      <c r="AA835" s="36"/>
      <c r="AB835" s="36"/>
      <c r="AC835" s="36"/>
      <c r="AD835" s="36"/>
      <c r="AE835" s="36"/>
      <c r="AF835" s="36"/>
      <c r="AG835" s="36"/>
      <c r="AH835" s="36"/>
    </row>
    <row r="836">
      <c r="A836" s="34"/>
      <c r="B836" s="35"/>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6"/>
      <c r="AA836" s="36"/>
      <c r="AB836" s="36"/>
      <c r="AC836" s="36"/>
      <c r="AD836" s="36"/>
      <c r="AE836" s="36"/>
      <c r="AF836" s="36"/>
      <c r="AG836" s="36"/>
      <c r="AH836" s="36"/>
    </row>
    <row r="837">
      <c r="A837" s="34"/>
      <c r="B837" s="35"/>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6"/>
      <c r="AA837" s="36"/>
      <c r="AB837" s="36"/>
      <c r="AC837" s="36"/>
      <c r="AD837" s="36"/>
      <c r="AE837" s="36"/>
      <c r="AF837" s="36"/>
      <c r="AG837" s="36"/>
      <c r="AH837" s="36"/>
    </row>
    <row r="838">
      <c r="A838" s="34"/>
      <c r="B838" s="35"/>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6"/>
      <c r="AA838" s="36"/>
      <c r="AB838" s="36"/>
      <c r="AC838" s="36"/>
      <c r="AD838" s="36"/>
      <c r="AE838" s="36"/>
      <c r="AF838" s="36"/>
      <c r="AG838" s="36"/>
      <c r="AH838" s="36"/>
    </row>
    <row r="839">
      <c r="A839" s="34"/>
      <c r="B839" s="35"/>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6"/>
      <c r="AA839" s="36"/>
      <c r="AB839" s="36"/>
      <c r="AC839" s="36"/>
      <c r="AD839" s="36"/>
      <c r="AE839" s="36"/>
      <c r="AF839" s="36"/>
      <c r="AG839" s="36"/>
      <c r="AH839" s="36"/>
    </row>
    <row r="840">
      <c r="A840" s="34"/>
      <c r="B840" s="35"/>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6"/>
      <c r="AA840" s="36"/>
      <c r="AB840" s="36"/>
      <c r="AC840" s="36"/>
      <c r="AD840" s="36"/>
      <c r="AE840" s="36"/>
      <c r="AF840" s="36"/>
      <c r="AG840" s="36"/>
      <c r="AH840" s="36"/>
    </row>
    <row r="841">
      <c r="A841" s="34"/>
      <c r="B841" s="35"/>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6"/>
      <c r="AA841" s="36"/>
      <c r="AB841" s="36"/>
      <c r="AC841" s="36"/>
      <c r="AD841" s="36"/>
      <c r="AE841" s="36"/>
      <c r="AF841" s="36"/>
      <c r="AG841" s="36"/>
      <c r="AH841" s="36"/>
    </row>
    <row r="842">
      <c r="A842" s="34"/>
      <c r="B842" s="35"/>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6"/>
      <c r="AA842" s="36"/>
      <c r="AB842" s="36"/>
      <c r="AC842" s="36"/>
      <c r="AD842" s="36"/>
      <c r="AE842" s="36"/>
      <c r="AF842" s="36"/>
      <c r="AG842" s="36"/>
      <c r="AH842" s="36"/>
    </row>
    <row r="843">
      <c r="A843" s="34"/>
      <c r="B843" s="35"/>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6"/>
      <c r="AA843" s="36"/>
      <c r="AB843" s="36"/>
      <c r="AC843" s="36"/>
      <c r="AD843" s="36"/>
      <c r="AE843" s="36"/>
      <c r="AF843" s="36"/>
      <c r="AG843" s="36"/>
      <c r="AH843" s="36"/>
    </row>
    <row r="844">
      <c r="A844" s="34"/>
      <c r="B844" s="35"/>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6"/>
      <c r="AA844" s="36"/>
      <c r="AB844" s="36"/>
      <c r="AC844" s="36"/>
      <c r="AD844" s="36"/>
      <c r="AE844" s="36"/>
      <c r="AF844" s="36"/>
      <c r="AG844" s="36"/>
      <c r="AH844" s="36"/>
    </row>
    <row r="845">
      <c r="A845" s="34"/>
      <c r="B845" s="35"/>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6"/>
      <c r="AA845" s="36"/>
      <c r="AB845" s="36"/>
      <c r="AC845" s="36"/>
      <c r="AD845" s="36"/>
      <c r="AE845" s="36"/>
      <c r="AF845" s="36"/>
      <c r="AG845" s="36"/>
      <c r="AH845" s="36"/>
    </row>
    <row r="846">
      <c r="A846" s="34"/>
      <c r="B846" s="35"/>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6"/>
      <c r="AA846" s="36"/>
      <c r="AB846" s="36"/>
      <c r="AC846" s="36"/>
      <c r="AD846" s="36"/>
      <c r="AE846" s="36"/>
      <c r="AF846" s="36"/>
      <c r="AG846" s="36"/>
      <c r="AH846" s="36"/>
    </row>
    <row r="847">
      <c r="A847" s="34"/>
      <c r="B847" s="35"/>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6"/>
      <c r="AA847" s="36"/>
      <c r="AB847" s="36"/>
      <c r="AC847" s="36"/>
      <c r="AD847" s="36"/>
      <c r="AE847" s="36"/>
      <c r="AF847" s="36"/>
      <c r="AG847" s="36"/>
      <c r="AH847" s="36"/>
    </row>
    <row r="848">
      <c r="A848" s="34"/>
      <c r="B848" s="35"/>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6"/>
      <c r="AA848" s="36"/>
      <c r="AB848" s="36"/>
      <c r="AC848" s="36"/>
      <c r="AD848" s="36"/>
      <c r="AE848" s="36"/>
      <c r="AF848" s="36"/>
      <c r="AG848" s="36"/>
      <c r="AH848" s="36"/>
    </row>
    <row r="849">
      <c r="A849" s="34"/>
      <c r="B849" s="35"/>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6"/>
      <c r="AA849" s="36"/>
      <c r="AB849" s="36"/>
      <c r="AC849" s="36"/>
      <c r="AD849" s="36"/>
      <c r="AE849" s="36"/>
      <c r="AF849" s="36"/>
      <c r="AG849" s="36"/>
      <c r="AH849" s="36"/>
    </row>
    <row r="850">
      <c r="A850" s="34"/>
      <c r="B850" s="35"/>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6"/>
      <c r="AA850" s="36"/>
      <c r="AB850" s="36"/>
      <c r="AC850" s="36"/>
      <c r="AD850" s="36"/>
      <c r="AE850" s="36"/>
      <c r="AF850" s="36"/>
      <c r="AG850" s="36"/>
      <c r="AH850" s="36"/>
    </row>
    <row r="851">
      <c r="A851" s="34"/>
      <c r="B851" s="35"/>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6"/>
      <c r="AA851" s="36"/>
      <c r="AB851" s="36"/>
      <c r="AC851" s="36"/>
      <c r="AD851" s="36"/>
      <c r="AE851" s="36"/>
      <c r="AF851" s="36"/>
      <c r="AG851" s="36"/>
      <c r="AH851" s="36"/>
    </row>
    <row r="852">
      <c r="A852" s="34"/>
      <c r="B852" s="35"/>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6"/>
      <c r="AA852" s="36"/>
      <c r="AB852" s="36"/>
      <c r="AC852" s="36"/>
      <c r="AD852" s="36"/>
      <c r="AE852" s="36"/>
      <c r="AF852" s="36"/>
      <c r="AG852" s="36"/>
      <c r="AH852" s="36"/>
    </row>
    <row r="853">
      <c r="A853" s="34"/>
      <c r="B853" s="35"/>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6"/>
      <c r="AA853" s="36"/>
      <c r="AB853" s="36"/>
      <c r="AC853" s="36"/>
      <c r="AD853" s="36"/>
      <c r="AE853" s="36"/>
      <c r="AF853" s="36"/>
      <c r="AG853" s="36"/>
      <c r="AH853" s="36"/>
    </row>
    <row r="854">
      <c r="A854" s="34"/>
      <c r="B854" s="35"/>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6"/>
      <c r="AA854" s="36"/>
      <c r="AB854" s="36"/>
      <c r="AC854" s="36"/>
      <c r="AD854" s="36"/>
      <c r="AE854" s="36"/>
      <c r="AF854" s="36"/>
      <c r="AG854" s="36"/>
      <c r="AH854" s="36"/>
    </row>
    <row r="855">
      <c r="A855" s="34"/>
      <c r="B855" s="35"/>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6"/>
      <c r="AA855" s="36"/>
      <c r="AB855" s="36"/>
      <c r="AC855" s="36"/>
      <c r="AD855" s="36"/>
      <c r="AE855" s="36"/>
      <c r="AF855" s="36"/>
      <c r="AG855" s="36"/>
      <c r="AH855" s="36"/>
    </row>
    <row r="856">
      <c r="A856" s="34"/>
      <c r="B856" s="35"/>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6"/>
      <c r="AA856" s="36"/>
      <c r="AB856" s="36"/>
      <c r="AC856" s="36"/>
      <c r="AD856" s="36"/>
      <c r="AE856" s="36"/>
      <c r="AF856" s="36"/>
      <c r="AG856" s="36"/>
      <c r="AH856" s="36"/>
    </row>
    <row r="857">
      <c r="A857" s="34"/>
      <c r="B857" s="35"/>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6"/>
      <c r="AA857" s="36"/>
      <c r="AB857" s="36"/>
      <c r="AC857" s="36"/>
      <c r="AD857" s="36"/>
      <c r="AE857" s="36"/>
      <c r="AF857" s="36"/>
      <c r="AG857" s="36"/>
      <c r="AH857" s="36"/>
    </row>
    <row r="858">
      <c r="A858" s="34"/>
      <c r="B858" s="35"/>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6"/>
      <c r="AA858" s="36"/>
      <c r="AB858" s="36"/>
      <c r="AC858" s="36"/>
      <c r="AD858" s="36"/>
      <c r="AE858" s="36"/>
      <c r="AF858" s="36"/>
      <c r="AG858" s="36"/>
      <c r="AH858" s="36"/>
    </row>
    <row r="859">
      <c r="A859" s="34"/>
      <c r="B859" s="35"/>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6"/>
      <c r="AA859" s="36"/>
      <c r="AB859" s="36"/>
      <c r="AC859" s="36"/>
      <c r="AD859" s="36"/>
      <c r="AE859" s="36"/>
      <c r="AF859" s="36"/>
      <c r="AG859" s="36"/>
      <c r="AH859" s="36"/>
    </row>
    <row r="860">
      <c r="A860" s="34"/>
      <c r="B860" s="35"/>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6"/>
      <c r="AA860" s="36"/>
      <c r="AB860" s="36"/>
      <c r="AC860" s="36"/>
      <c r="AD860" s="36"/>
      <c r="AE860" s="36"/>
      <c r="AF860" s="36"/>
      <c r="AG860" s="36"/>
      <c r="AH860" s="36"/>
    </row>
    <row r="861">
      <c r="A861" s="34"/>
      <c r="B861" s="35"/>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6"/>
      <c r="AA861" s="36"/>
      <c r="AB861" s="36"/>
      <c r="AC861" s="36"/>
      <c r="AD861" s="36"/>
      <c r="AE861" s="36"/>
      <c r="AF861" s="36"/>
      <c r="AG861" s="36"/>
      <c r="AH861" s="36"/>
    </row>
    <row r="862">
      <c r="A862" s="34"/>
      <c r="B862" s="35"/>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6"/>
      <c r="AA862" s="36"/>
      <c r="AB862" s="36"/>
      <c r="AC862" s="36"/>
      <c r="AD862" s="36"/>
      <c r="AE862" s="36"/>
      <c r="AF862" s="36"/>
      <c r="AG862" s="36"/>
      <c r="AH862" s="36"/>
    </row>
    <row r="863">
      <c r="A863" s="34"/>
      <c r="B863" s="35"/>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6"/>
      <c r="AA863" s="36"/>
      <c r="AB863" s="36"/>
      <c r="AC863" s="36"/>
      <c r="AD863" s="36"/>
      <c r="AE863" s="36"/>
      <c r="AF863" s="36"/>
      <c r="AG863" s="36"/>
      <c r="AH863" s="36"/>
    </row>
    <row r="864">
      <c r="A864" s="34"/>
      <c r="B864" s="35"/>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6"/>
      <c r="AA864" s="36"/>
      <c r="AB864" s="36"/>
      <c r="AC864" s="36"/>
      <c r="AD864" s="36"/>
      <c r="AE864" s="36"/>
      <c r="AF864" s="36"/>
      <c r="AG864" s="36"/>
      <c r="AH864" s="36"/>
    </row>
    <row r="865">
      <c r="A865" s="34"/>
      <c r="B865" s="35"/>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6"/>
      <c r="AA865" s="36"/>
      <c r="AB865" s="36"/>
      <c r="AC865" s="36"/>
      <c r="AD865" s="36"/>
      <c r="AE865" s="36"/>
      <c r="AF865" s="36"/>
      <c r="AG865" s="36"/>
      <c r="AH865" s="36"/>
    </row>
    <row r="866">
      <c r="A866" s="34"/>
      <c r="B866" s="35"/>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6"/>
      <c r="AA866" s="36"/>
      <c r="AB866" s="36"/>
      <c r="AC866" s="36"/>
      <c r="AD866" s="36"/>
      <c r="AE866" s="36"/>
      <c r="AF866" s="36"/>
      <c r="AG866" s="36"/>
      <c r="AH866" s="36"/>
    </row>
    <row r="867">
      <c r="A867" s="34"/>
      <c r="B867" s="35"/>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6"/>
      <c r="AA867" s="36"/>
      <c r="AB867" s="36"/>
      <c r="AC867" s="36"/>
      <c r="AD867" s="36"/>
      <c r="AE867" s="36"/>
      <c r="AF867" s="36"/>
      <c r="AG867" s="36"/>
      <c r="AH867" s="36"/>
    </row>
    <row r="868">
      <c r="A868" s="34"/>
      <c r="B868" s="35"/>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6"/>
      <c r="AA868" s="36"/>
      <c r="AB868" s="36"/>
      <c r="AC868" s="36"/>
      <c r="AD868" s="36"/>
      <c r="AE868" s="36"/>
      <c r="AF868" s="36"/>
      <c r="AG868" s="36"/>
      <c r="AH868" s="36"/>
    </row>
    <row r="869">
      <c r="A869" s="34"/>
      <c r="B869" s="35"/>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6"/>
      <c r="AA869" s="36"/>
      <c r="AB869" s="36"/>
      <c r="AC869" s="36"/>
      <c r="AD869" s="36"/>
      <c r="AE869" s="36"/>
      <c r="AF869" s="36"/>
      <c r="AG869" s="36"/>
      <c r="AH869" s="36"/>
    </row>
    <row r="870">
      <c r="A870" s="34"/>
      <c r="B870" s="35"/>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6"/>
      <c r="AA870" s="36"/>
      <c r="AB870" s="36"/>
      <c r="AC870" s="36"/>
      <c r="AD870" s="36"/>
      <c r="AE870" s="36"/>
      <c r="AF870" s="36"/>
      <c r="AG870" s="36"/>
      <c r="AH870" s="36"/>
    </row>
    <row r="871">
      <c r="A871" s="34"/>
      <c r="B871" s="35"/>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6"/>
      <c r="AA871" s="36"/>
      <c r="AB871" s="36"/>
      <c r="AC871" s="36"/>
      <c r="AD871" s="36"/>
      <c r="AE871" s="36"/>
      <c r="AF871" s="36"/>
      <c r="AG871" s="36"/>
      <c r="AH871" s="36"/>
    </row>
    <row r="872">
      <c r="A872" s="34"/>
      <c r="B872" s="35"/>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6"/>
      <c r="AA872" s="36"/>
      <c r="AB872" s="36"/>
      <c r="AC872" s="36"/>
      <c r="AD872" s="36"/>
      <c r="AE872" s="36"/>
      <c r="AF872" s="36"/>
      <c r="AG872" s="36"/>
      <c r="AH872" s="36"/>
    </row>
    <row r="873">
      <c r="A873" s="34"/>
      <c r="B873" s="35"/>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6"/>
      <c r="AA873" s="36"/>
      <c r="AB873" s="36"/>
      <c r="AC873" s="36"/>
      <c r="AD873" s="36"/>
      <c r="AE873" s="36"/>
      <c r="AF873" s="36"/>
      <c r="AG873" s="36"/>
      <c r="AH873" s="36"/>
    </row>
    <row r="874">
      <c r="A874" s="34"/>
      <c r="B874" s="35"/>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6"/>
      <c r="AA874" s="36"/>
      <c r="AB874" s="36"/>
      <c r="AC874" s="36"/>
      <c r="AD874" s="36"/>
      <c r="AE874" s="36"/>
      <c r="AF874" s="36"/>
      <c r="AG874" s="36"/>
      <c r="AH874" s="36"/>
    </row>
    <row r="875">
      <c r="A875" s="34"/>
      <c r="B875" s="35"/>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6"/>
      <c r="AA875" s="36"/>
      <c r="AB875" s="36"/>
      <c r="AC875" s="36"/>
      <c r="AD875" s="36"/>
      <c r="AE875" s="36"/>
      <c r="AF875" s="36"/>
      <c r="AG875" s="36"/>
      <c r="AH875" s="36"/>
    </row>
    <row r="876">
      <c r="A876" s="34"/>
      <c r="B876" s="35"/>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6"/>
      <c r="AA876" s="36"/>
      <c r="AB876" s="36"/>
      <c r="AC876" s="36"/>
      <c r="AD876" s="36"/>
      <c r="AE876" s="36"/>
      <c r="AF876" s="36"/>
      <c r="AG876" s="36"/>
      <c r="AH876" s="36"/>
    </row>
    <row r="877">
      <c r="A877" s="34"/>
      <c r="B877" s="35"/>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6"/>
      <c r="AA877" s="36"/>
      <c r="AB877" s="36"/>
      <c r="AC877" s="36"/>
      <c r="AD877" s="36"/>
      <c r="AE877" s="36"/>
      <c r="AF877" s="36"/>
      <c r="AG877" s="36"/>
      <c r="AH877" s="36"/>
    </row>
    <row r="878">
      <c r="A878" s="34"/>
      <c r="B878" s="35"/>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6"/>
      <c r="AA878" s="36"/>
      <c r="AB878" s="36"/>
      <c r="AC878" s="36"/>
      <c r="AD878" s="36"/>
      <c r="AE878" s="36"/>
      <c r="AF878" s="36"/>
      <c r="AG878" s="36"/>
      <c r="AH878" s="36"/>
    </row>
    <row r="879">
      <c r="A879" s="34"/>
      <c r="B879" s="35"/>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6"/>
      <c r="AA879" s="36"/>
      <c r="AB879" s="36"/>
      <c r="AC879" s="36"/>
      <c r="AD879" s="36"/>
      <c r="AE879" s="36"/>
      <c r="AF879" s="36"/>
      <c r="AG879" s="36"/>
      <c r="AH879" s="36"/>
    </row>
    <row r="880">
      <c r="A880" s="34"/>
      <c r="B880" s="35"/>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6"/>
      <c r="AA880" s="36"/>
      <c r="AB880" s="36"/>
      <c r="AC880" s="36"/>
      <c r="AD880" s="36"/>
      <c r="AE880" s="36"/>
      <c r="AF880" s="36"/>
      <c r="AG880" s="36"/>
      <c r="AH880" s="36"/>
    </row>
    <row r="881">
      <c r="A881" s="34"/>
      <c r="B881" s="35"/>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6"/>
      <c r="AA881" s="36"/>
      <c r="AB881" s="36"/>
      <c r="AC881" s="36"/>
      <c r="AD881" s="36"/>
      <c r="AE881" s="36"/>
      <c r="AF881" s="36"/>
      <c r="AG881" s="36"/>
      <c r="AH881" s="36"/>
    </row>
    <row r="882">
      <c r="A882" s="34"/>
      <c r="B882" s="35"/>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6"/>
      <c r="AA882" s="36"/>
      <c r="AB882" s="36"/>
      <c r="AC882" s="36"/>
      <c r="AD882" s="36"/>
      <c r="AE882" s="36"/>
      <c r="AF882" s="36"/>
      <c r="AG882" s="36"/>
      <c r="AH882" s="36"/>
    </row>
    <row r="883">
      <c r="A883" s="34"/>
      <c r="B883" s="35"/>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6"/>
      <c r="AA883" s="36"/>
      <c r="AB883" s="36"/>
      <c r="AC883" s="36"/>
      <c r="AD883" s="36"/>
      <c r="AE883" s="36"/>
      <c r="AF883" s="36"/>
      <c r="AG883" s="36"/>
      <c r="AH883" s="36"/>
    </row>
    <row r="884">
      <c r="A884" s="34"/>
      <c r="B884" s="35"/>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6"/>
      <c r="AA884" s="36"/>
      <c r="AB884" s="36"/>
      <c r="AC884" s="36"/>
      <c r="AD884" s="36"/>
      <c r="AE884" s="36"/>
      <c r="AF884" s="36"/>
      <c r="AG884" s="36"/>
      <c r="AH884" s="36"/>
    </row>
    <row r="885">
      <c r="A885" s="34"/>
      <c r="B885" s="35"/>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6"/>
      <c r="AA885" s="36"/>
      <c r="AB885" s="36"/>
      <c r="AC885" s="36"/>
      <c r="AD885" s="36"/>
      <c r="AE885" s="36"/>
      <c r="AF885" s="36"/>
      <c r="AG885" s="36"/>
      <c r="AH885" s="36"/>
    </row>
    <row r="886">
      <c r="A886" s="34"/>
      <c r="B886" s="35"/>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6"/>
      <c r="AA886" s="36"/>
      <c r="AB886" s="36"/>
      <c r="AC886" s="36"/>
      <c r="AD886" s="36"/>
      <c r="AE886" s="36"/>
      <c r="AF886" s="36"/>
      <c r="AG886" s="36"/>
      <c r="AH886" s="36"/>
    </row>
    <row r="887">
      <c r="A887" s="34"/>
      <c r="B887" s="35"/>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6"/>
      <c r="AA887" s="36"/>
      <c r="AB887" s="36"/>
      <c r="AC887" s="36"/>
      <c r="AD887" s="36"/>
      <c r="AE887" s="36"/>
      <c r="AF887" s="36"/>
      <c r="AG887" s="36"/>
      <c r="AH887" s="36"/>
    </row>
    <row r="888">
      <c r="A888" s="34"/>
      <c r="B888" s="35"/>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6"/>
      <c r="AA888" s="36"/>
      <c r="AB888" s="36"/>
      <c r="AC888" s="36"/>
      <c r="AD888" s="36"/>
      <c r="AE888" s="36"/>
      <c r="AF888" s="36"/>
      <c r="AG888" s="36"/>
      <c r="AH888" s="36"/>
    </row>
    <row r="889">
      <c r="A889" s="34"/>
      <c r="B889" s="35"/>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6"/>
      <c r="AA889" s="36"/>
      <c r="AB889" s="36"/>
      <c r="AC889" s="36"/>
      <c r="AD889" s="36"/>
      <c r="AE889" s="36"/>
      <c r="AF889" s="36"/>
      <c r="AG889" s="36"/>
      <c r="AH889" s="36"/>
    </row>
    <row r="890">
      <c r="A890" s="34"/>
      <c r="B890" s="35"/>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6"/>
      <c r="AA890" s="36"/>
      <c r="AB890" s="36"/>
      <c r="AC890" s="36"/>
      <c r="AD890" s="36"/>
      <c r="AE890" s="36"/>
      <c r="AF890" s="36"/>
      <c r="AG890" s="36"/>
      <c r="AH890" s="36"/>
    </row>
    <row r="891">
      <c r="A891" s="34"/>
      <c r="B891" s="35"/>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6"/>
      <c r="AA891" s="36"/>
      <c r="AB891" s="36"/>
      <c r="AC891" s="36"/>
      <c r="AD891" s="36"/>
      <c r="AE891" s="36"/>
      <c r="AF891" s="36"/>
      <c r="AG891" s="36"/>
      <c r="AH891" s="36"/>
    </row>
    <row r="892">
      <c r="A892" s="34"/>
      <c r="B892" s="35"/>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6"/>
      <c r="AA892" s="36"/>
      <c r="AB892" s="36"/>
      <c r="AC892" s="36"/>
      <c r="AD892" s="36"/>
      <c r="AE892" s="36"/>
      <c r="AF892" s="36"/>
      <c r="AG892" s="36"/>
      <c r="AH892" s="36"/>
    </row>
    <row r="893">
      <c r="A893" s="34"/>
      <c r="B893" s="35"/>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6"/>
      <c r="AA893" s="36"/>
      <c r="AB893" s="36"/>
      <c r="AC893" s="36"/>
      <c r="AD893" s="36"/>
      <c r="AE893" s="36"/>
      <c r="AF893" s="36"/>
      <c r="AG893" s="36"/>
      <c r="AH893" s="36"/>
    </row>
    <row r="894">
      <c r="A894" s="34"/>
      <c r="B894" s="35"/>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6"/>
      <c r="AA894" s="36"/>
      <c r="AB894" s="36"/>
      <c r="AC894" s="36"/>
      <c r="AD894" s="36"/>
      <c r="AE894" s="36"/>
      <c r="AF894" s="36"/>
      <c r="AG894" s="36"/>
      <c r="AH894" s="36"/>
    </row>
    <row r="895">
      <c r="A895" s="34"/>
      <c r="B895" s="35"/>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6"/>
      <c r="AA895" s="36"/>
      <c r="AB895" s="36"/>
      <c r="AC895" s="36"/>
      <c r="AD895" s="36"/>
      <c r="AE895" s="36"/>
      <c r="AF895" s="36"/>
      <c r="AG895" s="36"/>
      <c r="AH895" s="36"/>
    </row>
    <row r="896">
      <c r="A896" s="34"/>
      <c r="B896" s="35"/>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6"/>
      <c r="AA896" s="36"/>
      <c r="AB896" s="36"/>
      <c r="AC896" s="36"/>
      <c r="AD896" s="36"/>
      <c r="AE896" s="36"/>
      <c r="AF896" s="36"/>
      <c r="AG896" s="36"/>
      <c r="AH896" s="36"/>
    </row>
    <row r="897">
      <c r="A897" s="34"/>
      <c r="B897" s="35"/>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6"/>
      <c r="AA897" s="36"/>
      <c r="AB897" s="36"/>
      <c r="AC897" s="36"/>
      <c r="AD897" s="36"/>
      <c r="AE897" s="36"/>
      <c r="AF897" s="36"/>
      <c r="AG897" s="36"/>
      <c r="AH897" s="36"/>
    </row>
    <row r="898">
      <c r="A898" s="34"/>
      <c r="B898" s="35"/>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6"/>
      <c r="AA898" s="36"/>
      <c r="AB898" s="36"/>
      <c r="AC898" s="36"/>
      <c r="AD898" s="36"/>
      <c r="AE898" s="36"/>
      <c r="AF898" s="36"/>
      <c r="AG898" s="36"/>
      <c r="AH898" s="36"/>
    </row>
    <row r="899">
      <c r="A899" s="34"/>
      <c r="B899" s="35"/>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6"/>
      <c r="AA899" s="36"/>
      <c r="AB899" s="36"/>
      <c r="AC899" s="36"/>
      <c r="AD899" s="36"/>
      <c r="AE899" s="36"/>
      <c r="AF899" s="36"/>
      <c r="AG899" s="36"/>
      <c r="AH899" s="36"/>
    </row>
    <row r="900">
      <c r="A900" s="34"/>
      <c r="B900" s="35"/>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6"/>
      <c r="AA900" s="36"/>
      <c r="AB900" s="36"/>
      <c r="AC900" s="36"/>
      <c r="AD900" s="36"/>
      <c r="AE900" s="36"/>
      <c r="AF900" s="36"/>
      <c r="AG900" s="36"/>
      <c r="AH900" s="36"/>
    </row>
    <row r="901">
      <c r="A901" s="34"/>
      <c r="B901" s="35"/>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6"/>
      <c r="AA901" s="36"/>
      <c r="AB901" s="36"/>
      <c r="AC901" s="36"/>
      <c r="AD901" s="36"/>
      <c r="AE901" s="36"/>
      <c r="AF901" s="36"/>
      <c r="AG901" s="36"/>
      <c r="AH901" s="36"/>
    </row>
    <row r="902">
      <c r="A902" s="34"/>
      <c r="B902" s="35"/>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6"/>
      <c r="AA902" s="36"/>
      <c r="AB902" s="36"/>
      <c r="AC902" s="36"/>
      <c r="AD902" s="36"/>
      <c r="AE902" s="36"/>
      <c r="AF902" s="36"/>
      <c r="AG902" s="36"/>
      <c r="AH902" s="36"/>
    </row>
    <row r="903">
      <c r="A903" s="34"/>
      <c r="B903" s="35"/>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6"/>
      <c r="AA903" s="36"/>
      <c r="AB903" s="36"/>
      <c r="AC903" s="36"/>
      <c r="AD903" s="36"/>
      <c r="AE903" s="36"/>
      <c r="AF903" s="36"/>
      <c r="AG903" s="36"/>
      <c r="AH903" s="36"/>
    </row>
    <row r="904">
      <c r="A904" s="34"/>
      <c r="B904" s="35"/>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6"/>
      <c r="AA904" s="36"/>
      <c r="AB904" s="36"/>
      <c r="AC904" s="36"/>
      <c r="AD904" s="36"/>
      <c r="AE904" s="36"/>
      <c r="AF904" s="36"/>
      <c r="AG904" s="36"/>
      <c r="AH904" s="36"/>
    </row>
    <row r="905">
      <c r="A905" s="34"/>
      <c r="B905" s="35"/>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6"/>
      <c r="AA905" s="36"/>
      <c r="AB905" s="36"/>
      <c r="AC905" s="36"/>
      <c r="AD905" s="36"/>
      <c r="AE905" s="36"/>
      <c r="AF905" s="36"/>
      <c r="AG905" s="36"/>
      <c r="AH905" s="36"/>
    </row>
    <row r="906">
      <c r="A906" s="34"/>
      <c r="B906" s="35"/>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6"/>
      <c r="AA906" s="36"/>
      <c r="AB906" s="36"/>
      <c r="AC906" s="36"/>
      <c r="AD906" s="36"/>
      <c r="AE906" s="36"/>
      <c r="AF906" s="36"/>
      <c r="AG906" s="36"/>
      <c r="AH906" s="36"/>
    </row>
    <row r="907">
      <c r="A907" s="34"/>
      <c r="B907" s="35"/>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6"/>
      <c r="AA907" s="36"/>
      <c r="AB907" s="36"/>
      <c r="AC907" s="36"/>
      <c r="AD907" s="36"/>
      <c r="AE907" s="36"/>
      <c r="AF907" s="36"/>
      <c r="AG907" s="36"/>
      <c r="AH907" s="36"/>
    </row>
    <row r="908">
      <c r="A908" s="34"/>
      <c r="B908" s="35"/>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6"/>
      <c r="AA908" s="36"/>
      <c r="AB908" s="36"/>
      <c r="AC908" s="36"/>
      <c r="AD908" s="36"/>
      <c r="AE908" s="36"/>
      <c r="AF908" s="36"/>
      <c r="AG908" s="36"/>
      <c r="AH908" s="36"/>
    </row>
    <row r="909">
      <c r="A909" s="34"/>
      <c r="B909" s="35"/>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6"/>
      <c r="AA909" s="36"/>
      <c r="AB909" s="36"/>
      <c r="AC909" s="36"/>
      <c r="AD909" s="36"/>
      <c r="AE909" s="36"/>
      <c r="AF909" s="36"/>
      <c r="AG909" s="36"/>
      <c r="AH909" s="36"/>
    </row>
    <row r="910">
      <c r="A910" s="34"/>
      <c r="B910" s="35"/>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6"/>
      <c r="AA910" s="36"/>
      <c r="AB910" s="36"/>
      <c r="AC910" s="36"/>
      <c r="AD910" s="36"/>
      <c r="AE910" s="36"/>
      <c r="AF910" s="36"/>
      <c r="AG910" s="36"/>
      <c r="AH910" s="36"/>
    </row>
    <row r="911">
      <c r="A911" s="34"/>
      <c r="B911" s="35"/>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6"/>
      <c r="AA911" s="36"/>
      <c r="AB911" s="36"/>
      <c r="AC911" s="36"/>
      <c r="AD911" s="36"/>
      <c r="AE911" s="36"/>
      <c r="AF911" s="36"/>
      <c r="AG911" s="36"/>
      <c r="AH911" s="36"/>
    </row>
    <row r="912">
      <c r="A912" s="34"/>
      <c r="B912" s="35"/>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6"/>
      <c r="AA912" s="36"/>
      <c r="AB912" s="36"/>
      <c r="AC912" s="36"/>
      <c r="AD912" s="36"/>
      <c r="AE912" s="36"/>
      <c r="AF912" s="36"/>
      <c r="AG912" s="36"/>
      <c r="AH912" s="36"/>
    </row>
    <row r="913">
      <c r="A913" s="34"/>
      <c r="B913" s="35"/>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6"/>
      <c r="AA913" s="36"/>
      <c r="AB913" s="36"/>
      <c r="AC913" s="36"/>
      <c r="AD913" s="36"/>
      <c r="AE913" s="36"/>
      <c r="AF913" s="36"/>
      <c r="AG913" s="36"/>
      <c r="AH913" s="36"/>
    </row>
    <row r="914">
      <c r="A914" s="34"/>
      <c r="B914" s="35"/>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6"/>
      <c r="AA914" s="36"/>
      <c r="AB914" s="36"/>
      <c r="AC914" s="36"/>
      <c r="AD914" s="36"/>
      <c r="AE914" s="36"/>
      <c r="AF914" s="36"/>
      <c r="AG914" s="36"/>
      <c r="AH914" s="36"/>
    </row>
    <row r="915">
      <c r="A915" s="34"/>
      <c r="B915" s="35"/>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6"/>
      <c r="AA915" s="36"/>
      <c r="AB915" s="36"/>
      <c r="AC915" s="36"/>
      <c r="AD915" s="36"/>
      <c r="AE915" s="36"/>
      <c r="AF915" s="36"/>
      <c r="AG915" s="36"/>
      <c r="AH915" s="36"/>
    </row>
    <row r="916">
      <c r="A916" s="34"/>
      <c r="B916" s="35"/>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6"/>
      <c r="AA916" s="36"/>
      <c r="AB916" s="36"/>
      <c r="AC916" s="36"/>
      <c r="AD916" s="36"/>
      <c r="AE916" s="36"/>
      <c r="AF916" s="36"/>
      <c r="AG916" s="36"/>
      <c r="AH916" s="36"/>
    </row>
    <row r="917">
      <c r="A917" s="34"/>
      <c r="B917" s="35"/>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6"/>
      <c r="AA917" s="36"/>
      <c r="AB917" s="36"/>
      <c r="AC917" s="36"/>
      <c r="AD917" s="36"/>
      <c r="AE917" s="36"/>
      <c r="AF917" s="36"/>
      <c r="AG917" s="36"/>
      <c r="AH917" s="36"/>
    </row>
    <row r="918">
      <c r="A918" s="34"/>
      <c r="B918" s="35"/>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6"/>
      <c r="AA918" s="36"/>
      <c r="AB918" s="36"/>
      <c r="AC918" s="36"/>
      <c r="AD918" s="36"/>
      <c r="AE918" s="36"/>
      <c r="AF918" s="36"/>
      <c r="AG918" s="36"/>
      <c r="AH918" s="36"/>
    </row>
    <row r="919">
      <c r="A919" s="34"/>
      <c r="B919" s="35"/>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6"/>
      <c r="AA919" s="36"/>
      <c r="AB919" s="36"/>
      <c r="AC919" s="36"/>
      <c r="AD919" s="36"/>
      <c r="AE919" s="36"/>
      <c r="AF919" s="36"/>
      <c r="AG919" s="36"/>
      <c r="AH919" s="36"/>
    </row>
    <row r="920">
      <c r="A920" s="34"/>
      <c r="B920" s="35"/>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6"/>
      <c r="AA920" s="36"/>
      <c r="AB920" s="36"/>
      <c r="AC920" s="36"/>
      <c r="AD920" s="36"/>
      <c r="AE920" s="36"/>
      <c r="AF920" s="36"/>
      <c r="AG920" s="36"/>
      <c r="AH920" s="36"/>
    </row>
    <row r="921">
      <c r="A921" s="34"/>
      <c r="B921" s="35"/>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6"/>
      <c r="AA921" s="36"/>
      <c r="AB921" s="36"/>
      <c r="AC921" s="36"/>
      <c r="AD921" s="36"/>
      <c r="AE921" s="36"/>
      <c r="AF921" s="36"/>
      <c r="AG921" s="36"/>
      <c r="AH921" s="36"/>
    </row>
    <row r="922">
      <c r="A922" s="34"/>
      <c r="B922" s="35"/>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6"/>
      <c r="AA922" s="36"/>
      <c r="AB922" s="36"/>
      <c r="AC922" s="36"/>
      <c r="AD922" s="36"/>
      <c r="AE922" s="36"/>
      <c r="AF922" s="36"/>
      <c r="AG922" s="36"/>
      <c r="AH922" s="36"/>
    </row>
    <row r="923">
      <c r="A923" s="34"/>
      <c r="B923" s="35"/>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6"/>
      <c r="AA923" s="36"/>
      <c r="AB923" s="36"/>
      <c r="AC923" s="36"/>
      <c r="AD923" s="36"/>
      <c r="AE923" s="36"/>
      <c r="AF923" s="36"/>
      <c r="AG923" s="36"/>
      <c r="AH923" s="36"/>
    </row>
    <row r="924">
      <c r="A924" s="34"/>
      <c r="B924" s="35"/>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6"/>
      <c r="AA924" s="36"/>
      <c r="AB924" s="36"/>
      <c r="AC924" s="36"/>
      <c r="AD924" s="36"/>
      <c r="AE924" s="36"/>
      <c r="AF924" s="36"/>
      <c r="AG924" s="36"/>
      <c r="AH924" s="36"/>
    </row>
    <row r="925">
      <c r="A925" s="34"/>
      <c r="B925" s="35"/>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6"/>
      <c r="AA925" s="36"/>
      <c r="AB925" s="36"/>
      <c r="AC925" s="36"/>
      <c r="AD925" s="36"/>
      <c r="AE925" s="36"/>
      <c r="AF925" s="36"/>
      <c r="AG925" s="36"/>
      <c r="AH925" s="36"/>
    </row>
    <row r="926">
      <c r="A926" s="34"/>
      <c r="B926" s="35"/>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6"/>
      <c r="AA926" s="36"/>
      <c r="AB926" s="36"/>
      <c r="AC926" s="36"/>
      <c r="AD926" s="36"/>
      <c r="AE926" s="36"/>
      <c r="AF926" s="36"/>
      <c r="AG926" s="36"/>
      <c r="AH926" s="36"/>
    </row>
    <row r="927">
      <c r="A927" s="34"/>
      <c r="B927" s="35"/>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6"/>
      <c r="AA927" s="36"/>
      <c r="AB927" s="36"/>
      <c r="AC927" s="36"/>
      <c r="AD927" s="36"/>
      <c r="AE927" s="36"/>
      <c r="AF927" s="36"/>
      <c r="AG927" s="36"/>
      <c r="AH927" s="36"/>
    </row>
    <row r="928">
      <c r="A928" s="34"/>
      <c r="B928" s="35"/>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6"/>
      <c r="AA928" s="36"/>
      <c r="AB928" s="36"/>
      <c r="AC928" s="36"/>
      <c r="AD928" s="36"/>
      <c r="AE928" s="36"/>
      <c r="AF928" s="36"/>
      <c r="AG928" s="36"/>
      <c r="AH928" s="36"/>
    </row>
    <row r="929">
      <c r="A929" s="34"/>
      <c r="B929" s="35"/>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6"/>
      <c r="AA929" s="36"/>
      <c r="AB929" s="36"/>
      <c r="AC929" s="36"/>
      <c r="AD929" s="36"/>
      <c r="AE929" s="36"/>
      <c r="AF929" s="36"/>
      <c r="AG929" s="36"/>
      <c r="AH929" s="36"/>
    </row>
    <row r="930">
      <c r="A930" s="34"/>
      <c r="B930" s="35"/>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6"/>
      <c r="AA930" s="36"/>
      <c r="AB930" s="36"/>
      <c r="AC930" s="36"/>
      <c r="AD930" s="36"/>
      <c r="AE930" s="36"/>
      <c r="AF930" s="36"/>
      <c r="AG930" s="36"/>
      <c r="AH930" s="36"/>
    </row>
    <row r="931">
      <c r="A931" s="34"/>
      <c r="B931" s="35"/>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6"/>
      <c r="AA931" s="36"/>
      <c r="AB931" s="36"/>
      <c r="AC931" s="36"/>
      <c r="AD931" s="36"/>
      <c r="AE931" s="36"/>
      <c r="AF931" s="36"/>
      <c r="AG931" s="36"/>
      <c r="AH931" s="36"/>
    </row>
    <row r="932">
      <c r="A932" s="34"/>
      <c r="B932" s="35"/>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6"/>
      <c r="AA932" s="36"/>
      <c r="AB932" s="36"/>
      <c r="AC932" s="36"/>
      <c r="AD932" s="36"/>
      <c r="AE932" s="36"/>
      <c r="AF932" s="36"/>
      <c r="AG932" s="36"/>
      <c r="AH932" s="36"/>
    </row>
    <row r="933">
      <c r="A933" s="34"/>
      <c r="B933" s="35"/>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6"/>
      <c r="AA933" s="36"/>
      <c r="AB933" s="36"/>
      <c r="AC933" s="36"/>
      <c r="AD933" s="36"/>
      <c r="AE933" s="36"/>
      <c r="AF933" s="36"/>
      <c r="AG933" s="36"/>
      <c r="AH933" s="36"/>
    </row>
    <row r="934">
      <c r="A934" s="34"/>
      <c r="B934" s="35"/>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6"/>
      <c r="AA934" s="36"/>
      <c r="AB934" s="36"/>
      <c r="AC934" s="36"/>
      <c r="AD934" s="36"/>
      <c r="AE934" s="36"/>
      <c r="AF934" s="36"/>
      <c r="AG934" s="36"/>
      <c r="AH934" s="36"/>
    </row>
    <row r="935">
      <c r="A935" s="34"/>
      <c r="B935" s="35"/>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6"/>
      <c r="AA935" s="36"/>
      <c r="AB935" s="36"/>
      <c r="AC935" s="36"/>
      <c r="AD935" s="36"/>
      <c r="AE935" s="36"/>
      <c r="AF935" s="36"/>
      <c r="AG935" s="36"/>
      <c r="AH935" s="36"/>
    </row>
    <row r="936">
      <c r="A936" s="34"/>
      <c r="B936" s="35"/>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6"/>
      <c r="AA936" s="36"/>
      <c r="AB936" s="36"/>
      <c r="AC936" s="36"/>
      <c r="AD936" s="36"/>
      <c r="AE936" s="36"/>
      <c r="AF936" s="36"/>
      <c r="AG936" s="36"/>
      <c r="AH936" s="36"/>
    </row>
    <row r="937">
      <c r="A937" s="34"/>
      <c r="B937" s="35"/>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6"/>
      <c r="AA937" s="36"/>
      <c r="AB937" s="36"/>
      <c r="AC937" s="36"/>
      <c r="AD937" s="36"/>
      <c r="AE937" s="36"/>
      <c r="AF937" s="36"/>
      <c r="AG937" s="36"/>
      <c r="AH937" s="36"/>
    </row>
    <row r="938">
      <c r="A938" s="34"/>
      <c r="B938" s="35"/>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6"/>
      <c r="AA938" s="36"/>
      <c r="AB938" s="36"/>
      <c r="AC938" s="36"/>
      <c r="AD938" s="36"/>
      <c r="AE938" s="36"/>
      <c r="AF938" s="36"/>
      <c r="AG938" s="36"/>
      <c r="AH938" s="36"/>
    </row>
    <row r="939">
      <c r="A939" s="34"/>
      <c r="B939" s="35"/>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6"/>
      <c r="AA939" s="36"/>
      <c r="AB939" s="36"/>
      <c r="AC939" s="36"/>
      <c r="AD939" s="36"/>
      <c r="AE939" s="36"/>
      <c r="AF939" s="36"/>
      <c r="AG939" s="36"/>
      <c r="AH939" s="36"/>
    </row>
    <row r="940">
      <c r="A940" s="34"/>
      <c r="B940" s="35"/>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6"/>
      <c r="AA940" s="36"/>
      <c r="AB940" s="36"/>
      <c r="AC940" s="36"/>
      <c r="AD940" s="36"/>
      <c r="AE940" s="36"/>
      <c r="AF940" s="36"/>
      <c r="AG940" s="36"/>
      <c r="AH940" s="36"/>
    </row>
    <row r="941">
      <c r="A941" s="34"/>
      <c r="B941" s="35"/>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6"/>
      <c r="AA941" s="36"/>
      <c r="AB941" s="36"/>
      <c r="AC941" s="36"/>
      <c r="AD941" s="36"/>
      <c r="AE941" s="36"/>
      <c r="AF941" s="36"/>
      <c r="AG941" s="36"/>
      <c r="AH941" s="36"/>
    </row>
    <row r="942">
      <c r="A942" s="34"/>
      <c r="B942" s="35"/>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6"/>
      <c r="AA942" s="36"/>
      <c r="AB942" s="36"/>
      <c r="AC942" s="36"/>
      <c r="AD942" s="36"/>
      <c r="AE942" s="36"/>
      <c r="AF942" s="36"/>
      <c r="AG942" s="36"/>
      <c r="AH942" s="36"/>
    </row>
    <row r="943">
      <c r="A943" s="34"/>
      <c r="B943" s="35"/>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6"/>
      <c r="AA943" s="36"/>
      <c r="AB943" s="36"/>
      <c r="AC943" s="36"/>
      <c r="AD943" s="36"/>
      <c r="AE943" s="36"/>
      <c r="AF943" s="36"/>
      <c r="AG943" s="36"/>
      <c r="AH943" s="36"/>
    </row>
    <row r="944">
      <c r="A944" s="34"/>
      <c r="B944" s="35"/>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6"/>
      <c r="AA944" s="36"/>
      <c r="AB944" s="36"/>
      <c r="AC944" s="36"/>
      <c r="AD944" s="36"/>
      <c r="AE944" s="36"/>
      <c r="AF944" s="36"/>
      <c r="AG944" s="36"/>
      <c r="AH944" s="36"/>
    </row>
    <row r="945">
      <c r="A945" s="34"/>
      <c r="B945" s="35"/>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6"/>
      <c r="AA945" s="36"/>
      <c r="AB945" s="36"/>
      <c r="AC945" s="36"/>
      <c r="AD945" s="36"/>
      <c r="AE945" s="36"/>
      <c r="AF945" s="36"/>
      <c r="AG945" s="36"/>
      <c r="AH945" s="36"/>
    </row>
    <row r="946">
      <c r="A946" s="34"/>
      <c r="B946" s="35"/>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6"/>
      <c r="AA946" s="36"/>
      <c r="AB946" s="36"/>
      <c r="AC946" s="36"/>
      <c r="AD946" s="36"/>
      <c r="AE946" s="36"/>
      <c r="AF946" s="36"/>
      <c r="AG946" s="36"/>
      <c r="AH946" s="36"/>
    </row>
    <row r="947">
      <c r="A947" s="34"/>
      <c r="B947" s="35"/>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6"/>
      <c r="AA947" s="36"/>
      <c r="AB947" s="36"/>
      <c r="AC947" s="36"/>
      <c r="AD947" s="36"/>
      <c r="AE947" s="36"/>
      <c r="AF947" s="36"/>
      <c r="AG947" s="36"/>
      <c r="AH947" s="36"/>
    </row>
    <row r="948">
      <c r="A948" s="34"/>
      <c r="B948" s="35"/>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6"/>
      <c r="AA948" s="36"/>
      <c r="AB948" s="36"/>
      <c r="AC948" s="36"/>
      <c r="AD948" s="36"/>
      <c r="AE948" s="36"/>
      <c r="AF948" s="36"/>
      <c r="AG948" s="36"/>
      <c r="AH948" s="36"/>
    </row>
    <row r="949">
      <c r="A949" s="34"/>
      <c r="B949" s="35"/>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6"/>
      <c r="AA949" s="36"/>
      <c r="AB949" s="36"/>
      <c r="AC949" s="36"/>
      <c r="AD949" s="36"/>
      <c r="AE949" s="36"/>
      <c r="AF949" s="36"/>
      <c r="AG949" s="36"/>
      <c r="AH949" s="36"/>
    </row>
    <row r="950">
      <c r="A950" s="34"/>
      <c r="B950" s="35"/>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6"/>
      <c r="AA950" s="36"/>
      <c r="AB950" s="36"/>
      <c r="AC950" s="36"/>
      <c r="AD950" s="36"/>
      <c r="AE950" s="36"/>
      <c r="AF950" s="36"/>
      <c r="AG950" s="36"/>
      <c r="AH950" s="36"/>
    </row>
    <row r="951">
      <c r="A951" s="34"/>
      <c r="B951" s="35"/>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6"/>
      <c r="AA951" s="36"/>
      <c r="AB951" s="36"/>
      <c r="AC951" s="36"/>
      <c r="AD951" s="36"/>
      <c r="AE951" s="36"/>
      <c r="AF951" s="36"/>
      <c r="AG951" s="36"/>
      <c r="AH951" s="36"/>
    </row>
    <row r="952">
      <c r="A952" s="34"/>
      <c r="B952" s="35"/>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6"/>
      <c r="AA952" s="36"/>
      <c r="AB952" s="36"/>
      <c r="AC952" s="36"/>
      <c r="AD952" s="36"/>
      <c r="AE952" s="36"/>
      <c r="AF952" s="36"/>
      <c r="AG952" s="36"/>
      <c r="AH952" s="36"/>
    </row>
    <row r="953">
      <c r="A953" s="34"/>
      <c r="B953" s="35"/>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6"/>
      <c r="AA953" s="36"/>
      <c r="AB953" s="36"/>
      <c r="AC953" s="36"/>
      <c r="AD953" s="36"/>
      <c r="AE953" s="36"/>
      <c r="AF953" s="36"/>
      <c r="AG953" s="36"/>
      <c r="AH953" s="36"/>
    </row>
    <row r="954">
      <c r="A954" s="34"/>
      <c r="B954" s="35"/>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6"/>
      <c r="AA954" s="36"/>
      <c r="AB954" s="36"/>
      <c r="AC954" s="36"/>
      <c r="AD954" s="36"/>
      <c r="AE954" s="36"/>
      <c r="AF954" s="36"/>
      <c r="AG954" s="36"/>
      <c r="AH954" s="36"/>
    </row>
    <row r="955">
      <c r="A955" s="34"/>
      <c r="B955" s="35"/>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6"/>
      <c r="AA955" s="36"/>
      <c r="AB955" s="36"/>
      <c r="AC955" s="36"/>
      <c r="AD955" s="36"/>
      <c r="AE955" s="36"/>
      <c r="AF955" s="36"/>
      <c r="AG955" s="36"/>
      <c r="AH955" s="36"/>
    </row>
    <row r="956">
      <c r="A956" s="34"/>
      <c r="B956" s="35"/>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6"/>
      <c r="AA956" s="36"/>
      <c r="AB956" s="36"/>
      <c r="AC956" s="36"/>
      <c r="AD956" s="36"/>
      <c r="AE956" s="36"/>
      <c r="AF956" s="36"/>
      <c r="AG956" s="36"/>
      <c r="AH956" s="36"/>
    </row>
    <row r="957">
      <c r="A957" s="34"/>
      <c r="B957" s="35"/>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6"/>
      <c r="AA957" s="36"/>
      <c r="AB957" s="36"/>
      <c r="AC957" s="36"/>
      <c r="AD957" s="36"/>
      <c r="AE957" s="36"/>
      <c r="AF957" s="36"/>
      <c r="AG957" s="36"/>
      <c r="AH957" s="36"/>
    </row>
    <row r="958">
      <c r="A958" s="34"/>
      <c r="B958" s="35"/>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6"/>
      <c r="AA958" s="36"/>
      <c r="AB958" s="36"/>
      <c r="AC958" s="36"/>
      <c r="AD958" s="36"/>
      <c r="AE958" s="36"/>
      <c r="AF958" s="36"/>
      <c r="AG958" s="36"/>
      <c r="AH958" s="36"/>
    </row>
    <row r="959">
      <c r="A959" s="34"/>
      <c r="B959" s="35"/>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6"/>
      <c r="AA959" s="36"/>
      <c r="AB959" s="36"/>
      <c r="AC959" s="36"/>
      <c r="AD959" s="36"/>
      <c r="AE959" s="36"/>
      <c r="AF959" s="36"/>
      <c r="AG959" s="36"/>
      <c r="AH959" s="36"/>
    </row>
    <row r="960">
      <c r="A960" s="34"/>
      <c r="B960" s="35"/>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6"/>
      <c r="AA960" s="36"/>
      <c r="AB960" s="36"/>
      <c r="AC960" s="36"/>
      <c r="AD960" s="36"/>
      <c r="AE960" s="36"/>
      <c r="AF960" s="36"/>
      <c r="AG960" s="36"/>
      <c r="AH960" s="36"/>
    </row>
    <row r="961">
      <c r="A961" s="34"/>
      <c r="B961" s="35"/>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6"/>
      <c r="AA961" s="36"/>
      <c r="AB961" s="36"/>
      <c r="AC961" s="36"/>
      <c r="AD961" s="36"/>
      <c r="AE961" s="36"/>
      <c r="AF961" s="36"/>
      <c r="AG961" s="36"/>
      <c r="AH961" s="36"/>
    </row>
    <row r="962">
      <c r="A962" s="34"/>
      <c r="B962" s="35"/>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6"/>
      <c r="AA962" s="36"/>
      <c r="AB962" s="36"/>
      <c r="AC962" s="36"/>
      <c r="AD962" s="36"/>
      <c r="AE962" s="36"/>
      <c r="AF962" s="36"/>
      <c r="AG962" s="36"/>
      <c r="AH962" s="36"/>
    </row>
    <row r="963">
      <c r="A963" s="34"/>
      <c r="B963" s="35"/>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6"/>
      <c r="AA963" s="36"/>
      <c r="AB963" s="36"/>
      <c r="AC963" s="36"/>
      <c r="AD963" s="36"/>
      <c r="AE963" s="36"/>
      <c r="AF963" s="36"/>
      <c r="AG963" s="36"/>
      <c r="AH963" s="36"/>
    </row>
    <row r="964">
      <c r="A964" s="34"/>
      <c r="B964" s="35"/>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6"/>
      <c r="AA964" s="36"/>
      <c r="AB964" s="36"/>
      <c r="AC964" s="36"/>
      <c r="AD964" s="36"/>
      <c r="AE964" s="36"/>
      <c r="AF964" s="36"/>
      <c r="AG964" s="36"/>
      <c r="AH964" s="36"/>
    </row>
    <row r="965">
      <c r="A965" s="34"/>
      <c r="B965" s="35"/>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6"/>
      <c r="AA965" s="36"/>
      <c r="AB965" s="36"/>
      <c r="AC965" s="36"/>
      <c r="AD965" s="36"/>
      <c r="AE965" s="36"/>
      <c r="AF965" s="36"/>
      <c r="AG965" s="36"/>
      <c r="AH965" s="36"/>
    </row>
    <row r="966">
      <c r="A966" s="34"/>
      <c r="B966" s="35"/>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6"/>
      <c r="AA966" s="36"/>
      <c r="AB966" s="36"/>
      <c r="AC966" s="36"/>
      <c r="AD966" s="36"/>
      <c r="AE966" s="36"/>
      <c r="AF966" s="36"/>
      <c r="AG966" s="36"/>
      <c r="AH966" s="36"/>
    </row>
    <row r="967">
      <c r="A967" s="34"/>
      <c r="B967" s="35"/>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6"/>
      <c r="AA967" s="36"/>
      <c r="AB967" s="36"/>
      <c r="AC967" s="36"/>
      <c r="AD967" s="36"/>
      <c r="AE967" s="36"/>
      <c r="AF967" s="36"/>
      <c r="AG967" s="36"/>
      <c r="AH967" s="36"/>
    </row>
    <row r="968">
      <c r="A968" s="34"/>
      <c r="B968" s="35"/>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6"/>
      <c r="AA968" s="36"/>
      <c r="AB968" s="36"/>
      <c r="AC968" s="36"/>
      <c r="AD968" s="36"/>
      <c r="AE968" s="36"/>
      <c r="AF968" s="36"/>
      <c r="AG968" s="36"/>
      <c r="AH968" s="36"/>
    </row>
    <row r="969">
      <c r="A969" s="34"/>
      <c r="B969" s="35"/>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6"/>
      <c r="AA969" s="36"/>
      <c r="AB969" s="36"/>
      <c r="AC969" s="36"/>
      <c r="AD969" s="36"/>
      <c r="AE969" s="36"/>
      <c r="AF969" s="36"/>
      <c r="AG969" s="36"/>
      <c r="AH969" s="36"/>
    </row>
    <row r="970">
      <c r="A970" s="34"/>
      <c r="B970" s="35"/>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6"/>
      <c r="AA970" s="36"/>
      <c r="AB970" s="36"/>
      <c r="AC970" s="36"/>
      <c r="AD970" s="36"/>
      <c r="AE970" s="36"/>
      <c r="AF970" s="36"/>
      <c r="AG970" s="36"/>
      <c r="AH970" s="36"/>
    </row>
    <row r="971">
      <c r="A971" s="34"/>
      <c r="B971" s="35"/>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6"/>
      <c r="AA971" s="36"/>
      <c r="AB971" s="36"/>
      <c r="AC971" s="36"/>
      <c r="AD971" s="36"/>
      <c r="AE971" s="36"/>
      <c r="AF971" s="36"/>
      <c r="AG971" s="36"/>
      <c r="AH971" s="36"/>
    </row>
    <row r="972">
      <c r="A972" s="34"/>
      <c r="B972" s="35"/>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6"/>
      <c r="AA972" s="36"/>
      <c r="AB972" s="36"/>
      <c r="AC972" s="36"/>
      <c r="AD972" s="36"/>
      <c r="AE972" s="36"/>
      <c r="AF972" s="36"/>
      <c r="AG972" s="36"/>
      <c r="AH972" s="36"/>
    </row>
    <row r="973">
      <c r="A973" s="34"/>
      <c r="B973" s="35"/>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6"/>
      <c r="AA973" s="36"/>
      <c r="AB973" s="36"/>
      <c r="AC973" s="36"/>
      <c r="AD973" s="36"/>
      <c r="AE973" s="36"/>
      <c r="AF973" s="36"/>
      <c r="AG973" s="36"/>
      <c r="AH973" s="36"/>
    </row>
    <row r="974">
      <c r="A974" s="34"/>
      <c r="B974" s="35"/>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6"/>
      <c r="AA974" s="36"/>
      <c r="AB974" s="36"/>
      <c r="AC974" s="36"/>
      <c r="AD974" s="36"/>
      <c r="AE974" s="36"/>
      <c r="AF974" s="36"/>
      <c r="AG974" s="36"/>
      <c r="AH974" s="36"/>
    </row>
    <row r="975">
      <c r="A975" s="34"/>
      <c r="B975" s="35"/>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6"/>
      <c r="AA975" s="36"/>
      <c r="AB975" s="36"/>
      <c r="AC975" s="36"/>
      <c r="AD975" s="36"/>
      <c r="AE975" s="36"/>
      <c r="AF975" s="36"/>
      <c r="AG975" s="36"/>
      <c r="AH975" s="36"/>
    </row>
    <row r="976">
      <c r="A976" s="34"/>
      <c r="B976" s="35"/>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6"/>
      <c r="AA976" s="36"/>
      <c r="AB976" s="36"/>
      <c r="AC976" s="36"/>
      <c r="AD976" s="36"/>
      <c r="AE976" s="36"/>
      <c r="AF976" s="36"/>
      <c r="AG976" s="36"/>
      <c r="AH976" s="36"/>
    </row>
    <row r="977">
      <c r="A977" s="34"/>
      <c r="B977" s="35"/>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6"/>
      <c r="AA977" s="36"/>
      <c r="AB977" s="36"/>
      <c r="AC977" s="36"/>
      <c r="AD977" s="36"/>
      <c r="AE977" s="36"/>
      <c r="AF977" s="36"/>
      <c r="AG977" s="36"/>
      <c r="AH977" s="36"/>
    </row>
    <row r="978">
      <c r="A978" s="34"/>
      <c r="B978" s="35"/>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6"/>
      <c r="AA978" s="36"/>
      <c r="AB978" s="36"/>
      <c r="AC978" s="36"/>
      <c r="AD978" s="36"/>
      <c r="AE978" s="36"/>
      <c r="AF978" s="36"/>
      <c r="AG978" s="36"/>
      <c r="AH978" s="36"/>
    </row>
    <row r="979">
      <c r="A979" s="34"/>
      <c r="B979" s="35"/>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6"/>
      <c r="AA979" s="36"/>
      <c r="AB979" s="36"/>
      <c r="AC979" s="36"/>
      <c r="AD979" s="36"/>
      <c r="AE979" s="36"/>
      <c r="AF979" s="36"/>
      <c r="AG979" s="36"/>
      <c r="AH979" s="36"/>
    </row>
    <row r="980">
      <c r="A980" s="34"/>
      <c r="B980" s="35"/>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6"/>
      <c r="AA980" s="36"/>
      <c r="AB980" s="36"/>
      <c r="AC980" s="36"/>
      <c r="AD980" s="36"/>
      <c r="AE980" s="36"/>
      <c r="AF980" s="36"/>
      <c r="AG980" s="36"/>
      <c r="AH980" s="36"/>
    </row>
    <row r="981">
      <c r="A981" s="34"/>
      <c r="B981" s="35"/>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6"/>
      <c r="AA981" s="36"/>
      <c r="AB981" s="36"/>
      <c r="AC981" s="36"/>
      <c r="AD981" s="36"/>
      <c r="AE981" s="36"/>
      <c r="AF981" s="36"/>
      <c r="AG981" s="36"/>
      <c r="AH981" s="36"/>
    </row>
    <row r="982">
      <c r="A982" s="34"/>
      <c r="B982" s="35"/>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6"/>
      <c r="AA982" s="36"/>
      <c r="AB982" s="36"/>
      <c r="AC982" s="36"/>
      <c r="AD982" s="36"/>
      <c r="AE982" s="36"/>
      <c r="AF982" s="36"/>
      <c r="AG982" s="36"/>
      <c r="AH982" s="36"/>
    </row>
    <row r="983">
      <c r="A983" s="34"/>
      <c r="B983" s="35"/>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6"/>
      <c r="AA983" s="36"/>
      <c r="AB983" s="36"/>
      <c r="AC983" s="36"/>
      <c r="AD983" s="36"/>
      <c r="AE983" s="36"/>
      <c r="AF983" s="36"/>
      <c r="AG983" s="36"/>
      <c r="AH983" s="36"/>
    </row>
    <row r="984">
      <c r="A984" s="34"/>
      <c r="B984" s="35"/>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6"/>
      <c r="AA984" s="36"/>
      <c r="AB984" s="36"/>
      <c r="AC984" s="36"/>
      <c r="AD984" s="36"/>
      <c r="AE984" s="36"/>
      <c r="AF984" s="36"/>
      <c r="AG984" s="36"/>
      <c r="AH984" s="36"/>
    </row>
    <row r="985">
      <c r="A985" s="34"/>
      <c r="B985" s="35"/>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6"/>
      <c r="AA985" s="36"/>
      <c r="AB985" s="36"/>
      <c r="AC985" s="36"/>
      <c r="AD985" s="36"/>
      <c r="AE985" s="36"/>
      <c r="AF985" s="36"/>
      <c r="AG985" s="36"/>
      <c r="AH985" s="36"/>
    </row>
    <row r="986">
      <c r="A986" s="34"/>
      <c r="B986" s="35"/>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6"/>
      <c r="AA986" s="36"/>
      <c r="AB986" s="36"/>
      <c r="AC986" s="36"/>
      <c r="AD986" s="36"/>
      <c r="AE986" s="36"/>
      <c r="AF986" s="36"/>
      <c r="AG986" s="36"/>
      <c r="AH986" s="36"/>
    </row>
    <row r="987">
      <c r="A987" s="34"/>
      <c r="B987" s="35"/>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6"/>
      <c r="AA987" s="36"/>
      <c r="AB987" s="36"/>
      <c r="AC987" s="36"/>
      <c r="AD987" s="36"/>
      <c r="AE987" s="36"/>
      <c r="AF987" s="36"/>
      <c r="AG987" s="36"/>
      <c r="AH987" s="36"/>
    </row>
    <row r="988">
      <c r="A988" s="34"/>
      <c r="B988" s="35"/>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6"/>
      <c r="AA988" s="36"/>
      <c r="AB988" s="36"/>
      <c r="AC988" s="36"/>
      <c r="AD988" s="36"/>
      <c r="AE988" s="36"/>
      <c r="AF988" s="36"/>
      <c r="AG988" s="36"/>
      <c r="AH988" s="36"/>
    </row>
    <row r="989">
      <c r="A989" s="34"/>
      <c r="B989" s="35"/>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6"/>
      <c r="AA989" s="36"/>
      <c r="AB989" s="36"/>
      <c r="AC989" s="36"/>
      <c r="AD989" s="36"/>
      <c r="AE989" s="36"/>
      <c r="AF989" s="36"/>
      <c r="AG989" s="36"/>
      <c r="AH989" s="36"/>
    </row>
    <row r="990">
      <c r="A990" s="34"/>
      <c r="B990" s="35"/>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6"/>
      <c r="AA990" s="36"/>
      <c r="AB990" s="36"/>
      <c r="AC990" s="36"/>
      <c r="AD990" s="36"/>
      <c r="AE990" s="36"/>
      <c r="AF990" s="36"/>
      <c r="AG990" s="36"/>
      <c r="AH990" s="36"/>
    </row>
    <row r="991">
      <c r="A991" s="34"/>
      <c r="B991" s="35"/>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6"/>
      <c r="AA991" s="36"/>
      <c r="AB991" s="36"/>
      <c r="AC991" s="36"/>
      <c r="AD991" s="36"/>
      <c r="AE991" s="36"/>
      <c r="AF991" s="36"/>
      <c r="AG991" s="36"/>
      <c r="AH991" s="36"/>
    </row>
    <row r="992">
      <c r="A992" s="34"/>
      <c r="B992" s="35"/>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6"/>
      <c r="AA992" s="36"/>
      <c r="AB992" s="36"/>
      <c r="AC992" s="36"/>
      <c r="AD992" s="36"/>
      <c r="AE992" s="36"/>
      <c r="AF992" s="36"/>
      <c r="AG992" s="36"/>
      <c r="AH992" s="36"/>
    </row>
    <row r="993">
      <c r="A993" s="34"/>
      <c r="B993" s="35"/>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6"/>
      <c r="AA993" s="36"/>
      <c r="AB993" s="36"/>
      <c r="AC993" s="36"/>
      <c r="AD993" s="36"/>
      <c r="AE993" s="36"/>
      <c r="AF993" s="36"/>
      <c r="AG993" s="36"/>
      <c r="AH993" s="36"/>
    </row>
    <row r="994">
      <c r="A994" s="34"/>
      <c r="B994" s="35"/>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6"/>
      <c r="AA994" s="36"/>
      <c r="AB994" s="36"/>
      <c r="AC994" s="36"/>
      <c r="AD994" s="36"/>
      <c r="AE994" s="36"/>
      <c r="AF994" s="36"/>
      <c r="AG994" s="36"/>
      <c r="AH994" s="36"/>
    </row>
    <row r="995">
      <c r="A995" s="34"/>
      <c r="B995" s="35"/>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6"/>
      <c r="AA995" s="36"/>
      <c r="AB995" s="36"/>
      <c r="AC995" s="36"/>
      <c r="AD995" s="36"/>
      <c r="AE995" s="36"/>
      <c r="AF995" s="36"/>
      <c r="AG995" s="36"/>
      <c r="AH995" s="36"/>
    </row>
    <row r="996">
      <c r="A996" s="34"/>
      <c r="B996" s="35"/>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6"/>
      <c r="AA996" s="36"/>
      <c r="AB996" s="36"/>
      <c r="AC996" s="36"/>
      <c r="AD996" s="36"/>
      <c r="AE996" s="36"/>
      <c r="AF996" s="36"/>
      <c r="AG996" s="36"/>
      <c r="AH996" s="36"/>
    </row>
    <row r="997">
      <c r="A997" s="34"/>
      <c r="B997" s="35"/>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6"/>
      <c r="AA997" s="36"/>
      <c r="AB997" s="36"/>
      <c r="AC997" s="36"/>
      <c r="AD997" s="36"/>
      <c r="AE997" s="36"/>
      <c r="AF997" s="36"/>
      <c r="AG997" s="36"/>
      <c r="AH997" s="36"/>
    </row>
    <row r="998">
      <c r="A998" s="34"/>
      <c r="B998" s="35"/>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6"/>
      <c r="AA998" s="36"/>
      <c r="AB998" s="36"/>
      <c r="AC998" s="36"/>
      <c r="AD998" s="36"/>
      <c r="AE998" s="36"/>
      <c r="AF998" s="36"/>
      <c r="AG998" s="36"/>
      <c r="AH998" s="36"/>
    </row>
    <row r="999">
      <c r="A999" s="34"/>
      <c r="B999" s="35"/>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6"/>
      <c r="AA999" s="36"/>
      <c r="AB999" s="36"/>
      <c r="AC999" s="36"/>
      <c r="AD999" s="36"/>
      <c r="AE999" s="36"/>
      <c r="AF999" s="36"/>
      <c r="AG999" s="36"/>
      <c r="AH999" s="36"/>
    </row>
    <row r="1000">
      <c r="A1000" s="34"/>
      <c r="B1000" s="35"/>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6"/>
      <c r="AA1000" s="36"/>
      <c r="AB1000" s="36"/>
      <c r="AC1000" s="36"/>
      <c r="AD1000" s="36"/>
      <c r="AE1000" s="36"/>
      <c r="AF1000" s="36"/>
      <c r="AG1000" s="36"/>
      <c r="AH1000" s="36"/>
    </row>
    <row r="1001">
      <c r="A1001" s="34"/>
      <c r="B1001" s="35"/>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6"/>
      <c r="AA1001" s="36"/>
      <c r="AB1001" s="36"/>
      <c r="AC1001" s="36"/>
      <c r="AD1001" s="36"/>
      <c r="AE1001" s="36"/>
      <c r="AF1001" s="36"/>
      <c r="AG1001" s="36"/>
      <c r="AH1001" s="36"/>
    </row>
    <row r="1002">
      <c r="A1002" s="34"/>
      <c r="B1002" s="35"/>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6"/>
      <c r="AA1002" s="36"/>
      <c r="AB1002" s="36"/>
      <c r="AC1002" s="36"/>
      <c r="AD1002" s="36"/>
      <c r="AE1002" s="36"/>
      <c r="AF1002" s="36"/>
      <c r="AG1002" s="36"/>
      <c r="AH1002" s="36"/>
    </row>
    <row r="1003">
      <c r="A1003" s="34"/>
      <c r="B1003" s="35"/>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6"/>
      <c r="AA1003" s="36"/>
      <c r="AB1003" s="36"/>
      <c r="AC1003" s="36"/>
      <c r="AD1003" s="36"/>
      <c r="AE1003" s="36"/>
      <c r="AF1003" s="36"/>
      <c r="AG1003" s="36"/>
      <c r="AH1003" s="36"/>
    </row>
    <row r="1004">
      <c r="A1004" s="34"/>
      <c r="B1004" s="35"/>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6"/>
      <c r="AA1004" s="36"/>
      <c r="AB1004" s="36"/>
      <c r="AC1004" s="36"/>
      <c r="AD1004" s="36"/>
      <c r="AE1004" s="36"/>
      <c r="AF1004" s="36"/>
      <c r="AG1004" s="36"/>
      <c r="AH1004" s="36"/>
    </row>
    <row r="1005">
      <c r="A1005" s="34"/>
      <c r="B1005" s="35"/>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6"/>
      <c r="AA1005" s="36"/>
      <c r="AB1005" s="36"/>
      <c r="AC1005" s="36"/>
      <c r="AD1005" s="36"/>
      <c r="AE1005" s="36"/>
      <c r="AF1005" s="36"/>
      <c r="AG1005" s="36"/>
      <c r="AH1005" s="36"/>
    </row>
    <row r="1006">
      <c r="A1006" s="34"/>
      <c r="B1006" s="35"/>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6"/>
      <c r="AA1006" s="36"/>
      <c r="AB1006" s="36"/>
      <c r="AC1006" s="36"/>
      <c r="AD1006" s="36"/>
      <c r="AE1006" s="36"/>
      <c r="AF1006" s="36"/>
      <c r="AG1006" s="36"/>
      <c r="AH1006" s="36"/>
    </row>
    <row r="1007">
      <c r="A1007" s="34"/>
      <c r="B1007" s="35"/>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6"/>
      <c r="AA1007" s="36"/>
      <c r="AB1007" s="36"/>
      <c r="AC1007" s="36"/>
      <c r="AD1007" s="36"/>
      <c r="AE1007" s="36"/>
      <c r="AF1007" s="36"/>
      <c r="AG1007" s="36"/>
      <c r="AH1007" s="36"/>
    </row>
    <row r="1008">
      <c r="A1008" s="34"/>
      <c r="B1008" s="35"/>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6"/>
      <c r="AA1008" s="36"/>
      <c r="AB1008" s="36"/>
      <c r="AC1008" s="36"/>
      <c r="AD1008" s="36"/>
      <c r="AE1008" s="36"/>
      <c r="AF1008" s="36"/>
      <c r="AG1008" s="36"/>
      <c r="AH1008" s="36"/>
    </row>
    <row r="1009">
      <c r="A1009" s="34"/>
      <c r="B1009" s="35"/>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6"/>
      <c r="AA1009" s="36"/>
      <c r="AB1009" s="36"/>
      <c r="AC1009" s="36"/>
      <c r="AD1009" s="36"/>
      <c r="AE1009" s="36"/>
      <c r="AF1009" s="36"/>
      <c r="AG1009" s="36"/>
      <c r="AH1009" s="36"/>
    </row>
    <row r="1010">
      <c r="A1010" s="34"/>
      <c r="B1010" s="35"/>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6"/>
      <c r="AA1010" s="36"/>
      <c r="AB1010" s="36"/>
      <c r="AC1010" s="36"/>
      <c r="AD1010" s="36"/>
      <c r="AE1010" s="36"/>
      <c r="AF1010" s="36"/>
      <c r="AG1010" s="36"/>
      <c r="AH1010" s="36"/>
    </row>
    <row r="1011">
      <c r="A1011" s="34"/>
      <c r="B1011" s="35"/>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6"/>
      <c r="AA1011" s="36"/>
      <c r="AB1011" s="36"/>
      <c r="AC1011" s="36"/>
      <c r="AD1011" s="36"/>
      <c r="AE1011" s="36"/>
      <c r="AF1011" s="36"/>
      <c r="AG1011" s="36"/>
      <c r="AH1011" s="36"/>
    </row>
    <row r="1012">
      <c r="A1012" s="34"/>
      <c r="B1012" s="35"/>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6"/>
      <c r="AA1012" s="36"/>
      <c r="AB1012" s="36"/>
      <c r="AC1012" s="36"/>
      <c r="AD1012" s="36"/>
      <c r="AE1012" s="36"/>
      <c r="AF1012" s="36"/>
      <c r="AG1012" s="36"/>
      <c r="AH1012" s="36"/>
    </row>
    <row r="1013">
      <c r="A1013" s="34"/>
      <c r="B1013" s="35"/>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6"/>
      <c r="AA1013" s="36"/>
      <c r="AB1013" s="36"/>
      <c r="AC1013" s="36"/>
      <c r="AD1013" s="36"/>
      <c r="AE1013" s="36"/>
      <c r="AF1013" s="36"/>
      <c r="AG1013" s="36"/>
      <c r="AH1013" s="36"/>
    </row>
    <row r="1014">
      <c r="A1014" s="34"/>
      <c r="B1014" s="35"/>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6"/>
      <c r="AA1014" s="36"/>
      <c r="AB1014" s="36"/>
      <c r="AC1014" s="36"/>
      <c r="AD1014" s="36"/>
      <c r="AE1014" s="36"/>
      <c r="AF1014" s="36"/>
      <c r="AG1014" s="36"/>
      <c r="AH1014" s="36"/>
    </row>
    <row r="1015">
      <c r="A1015" s="34"/>
      <c r="B1015" s="35"/>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6"/>
      <c r="AA1015" s="36"/>
      <c r="AB1015" s="36"/>
      <c r="AC1015" s="36"/>
      <c r="AD1015" s="36"/>
      <c r="AE1015" s="36"/>
      <c r="AF1015" s="36"/>
      <c r="AG1015" s="36"/>
      <c r="AH1015" s="36"/>
    </row>
    <row r="1016">
      <c r="A1016" s="34"/>
      <c r="B1016" s="35"/>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6"/>
      <c r="AA1016" s="36"/>
      <c r="AB1016" s="36"/>
      <c r="AC1016" s="36"/>
      <c r="AD1016" s="36"/>
      <c r="AE1016" s="36"/>
      <c r="AF1016" s="36"/>
      <c r="AG1016" s="36"/>
      <c r="AH1016" s="36"/>
    </row>
    <row r="1017">
      <c r="A1017" s="34"/>
      <c r="B1017" s="35"/>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6"/>
      <c r="AA1017" s="36"/>
      <c r="AB1017" s="36"/>
      <c r="AC1017" s="36"/>
      <c r="AD1017" s="36"/>
      <c r="AE1017" s="36"/>
      <c r="AF1017" s="36"/>
      <c r="AG1017" s="36"/>
      <c r="AH1017" s="36"/>
    </row>
    <row r="1018">
      <c r="A1018" s="34"/>
      <c r="B1018" s="35"/>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6"/>
      <c r="AA1018" s="36"/>
      <c r="AB1018" s="36"/>
      <c r="AC1018" s="36"/>
      <c r="AD1018" s="36"/>
      <c r="AE1018" s="36"/>
      <c r="AF1018" s="36"/>
      <c r="AG1018" s="36"/>
      <c r="AH1018" s="36"/>
    </row>
    <row r="1019">
      <c r="A1019" s="34"/>
      <c r="B1019" s="35"/>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6"/>
      <c r="AA1019" s="36"/>
      <c r="AB1019" s="36"/>
      <c r="AC1019" s="36"/>
      <c r="AD1019" s="36"/>
      <c r="AE1019" s="36"/>
      <c r="AF1019" s="36"/>
      <c r="AG1019" s="36"/>
      <c r="AH1019" s="36"/>
    </row>
    <row r="1020">
      <c r="A1020" s="34"/>
      <c r="B1020" s="35"/>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6"/>
      <c r="AA1020" s="36"/>
      <c r="AB1020" s="36"/>
      <c r="AC1020" s="36"/>
      <c r="AD1020" s="36"/>
      <c r="AE1020" s="36"/>
      <c r="AF1020" s="36"/>
      <c r="AG1020" s="36"/>
      <c r="AH1020" s="36"/>
    </row>
    <row r="1021">
      <c r="A1021" s="34"/>
      <c r="B1021" s="35"/>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6"/>
      <c r="AA1021" s="36"/>
      <c r="AB1021" s="36"/>
      <c r="AC1021" s="36"/>
      <c r="AD1021" s="36"/>
      <c r="AE1021" s="36"/>
      <c r="AF1021" s="36"/>
      <c r="AG1021" s="36"/>
      <c r="AH1021" s="36"/>
    </row>
    <row r="1022">
      <c r="A1022" s="34"/>
      <c r="B1022" s="35"/>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6"/>
      <c r="AA1022" s="36"/>
      <c r="AB1022" s="36"/>
      <c r="AC1022" s="36"/>
      <c r="AD1022" s="36"/>
      <c r="AE1022" s="36"/>
      <c r="AF1022" s="36"/>
      <c r="AG1022" s="36"/>
      <c r="AH1022" s="36"/>
    </row>
    <row r="1023">
      <c r="A1023" s="34"/>
      <c r="B1023" s="35"/>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6"/>
      <c r="AA1023" s="36"/>
      <c r="AB1023" s="36"/>
      <c r="AC1023" s="36"/>
      <c r="AD1023" s="36"/>
      <c r="AE1023" s="36"/>
      <c r="AF1023" s="36"/>
      <c r="AG1023" s="36"/>
      <c r="AH1023" s="36"/>
    </row>
    <row r="1024">
      <c r="A1024" s="34"/>
      <c r="B1024" s="35"/>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6"/>
      <c r="AA1024" s="36"/>
      <c r="AB1024" s="36"/>
      <c r="AC1024" s="36"/>
      <c r="AD1024" s="36"/>
      <c r="AE1024" s="36"/>
      <c r="AF1024" s="36"/>
      <c r="AG1024" s="36"/>
      <c r="AH1024" s="36"/>
    </row>
    <row r="1025">
      <c r="A1025" s="34"/>
      <c r="B1025" s="35"/>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6"/>
      <c r="AA1025" s="36"/>
      <c r="AB1025" s="36"/>
      <c r="AC1025" s="36"/>
      <c r="AD1025" s="36"/>
      <c r="AE1025" s="36"/>
      <c r="AF1025" s="36"/>
      <c r="AG1025" s="36"/>
      <c r="AH1025" s="36"/>
    </row>
    <row r="1026">
      <c r="A1026" s="34"/>
      <c r="B1026" s="35"/>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6"/>
      <c r="AA1026" s="36"/>
      <c r="AB1026" s="36"/>
      <c r="AC1026" s="36"/>
      <c r="AD1026" s="36"/>
      <c r="AE1026" s="36"/>
      <c r="AF1026" s="36"/>
      <c r="AG1026" s="36"/>
      <c r="AH1026" s="36"/>
    </row>
    <row r="1027">
      <c r="A1027" s="34"/>
      <c r="B1027" s="35"/>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6"/>
      <c r="AA1027" s="36"/>
      <c r="AB1027" s="36"/>
      <c r="AC1027" s="36"/>
      <c r="AD1027" s="36"/>
      <c r="AE1027" s="36"/>
      <c r="AF1027" s="36"/>
      <c r="AG1027" s="36"/>
      <c r="AH1027" s="36"/>
    </row>
    <row r="1028">
      <c r="A1028" s="34"/>
      <c r="B1028" s="35"/>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6"/>
      <c r="AA1028" s="36"/>
      <c r="AB1028" s="36"/>
      <c r="AC1028" s="36"/>
      <c r="AD1028" s="36"/>
      <c r="AE1028" s="36"/>
      <c r="AF1028" s="36"/>
      <c r="AG1028" s="36"/>
      <c r="AH1028" s="36"/>
    </row>
    <row r="1029">
      <c r="A1029" s="34"/>
      <c r="B1029" s="35"/>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6"/>
      <c r="AA1029" s="36"/>
      <c r="AB1029" s="36"/>
      <c r="AC1029" s="36"/>
      <c r="AD1029" s="36"/>
      <c r="AE1029" s="36"/>
      <c r="AF1029" s="36"/>
      <c r="AG1029" s="36"/>
      <c r="AH1029" s="36"/>
    </row>
    <row r="1030">
      <c r="A1030" s="34"/>
      <c r="B1030" s="35"/>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6"/>
      <c r="AA1030" s="36"/>
      <c r="AB1030" s="36"/>
      <c r="AC1030" s="36"/>
      <c r="AD1030" s="36"/>
      <c r="AE1030" s="36"/>
      <c r="AF1030" s="36"/>
      <c r="AG1030" s="36"/>
      <c r="AH1030" s="36"/>
    </row>
    <row r="1031">
      <c r="A1031" s="34"/>
      <c r="B1031" s="35"/>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6"/>
      <c r="AA1031" s="36"/>
      <c r="AB1031" s="36"/>
      <c r="AC1031" s="36"/>
      <c r="AD1031" s="36"/>
      <c r="AE1031" s="36"/>
      <c r="AF1031" s="36"/>
      <c r="AG1031" s="36"/>
      <c r="AH1031" s="36"/>
    </row>
    <row r="1032">
      <c r="A1032" s="34"/>
      <c r="B1032" s="35"/>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6"/>
      <c r="AA1032" s="36"/>
      <c r="AB1032" s="36"/>
      <c r="AC1032" s="36"/>
      <c r="AD1032" s="36"/>
      <c r="AE1032" s="36"/>
      <c r="AF1032" s="36"/>
      <c r="AG1032" s="36"/>
      <c r="AH1032" s="36"/>
    </row>
    <row r="1033">
      <c r="A1033" s="34"/>
      <c r="B1033" s="35"/>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6"/>
      <c r="AA1033" s="36"/>
      <c r="AB1033" s="36"/>
      <c r="AC1033" s="36"/>
      <c r="AD1033" s="36"/>
      <c r="AE1033" s="36"/>
      <c r="AF1033" s="36"/>
      <c r="AG1033" s="36"/>
      <c r="AH1033" s="36"/>
    </row>
    <row r="1034">
      <c r="A1034" s="34"/>
      <c r="B1034" s="35"/>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6"/>
      <c r="AA1034" s="36"/>
      <c r="AB1034" s="36"/>
      <c r="AC1034" s="36"/>
      <c r="AD1034" s="36"/>
      <c r="AE1034" s="36"/>
      <c r="AF1034" s="36"/>
      <c r="AG1034" s="36"/>
      <c r="AH1034" s="36"/>
    </row>
    <row r="1035">
      <c r="A1035" s="34"/>
      <c r="B1035" s="35"/>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6"/>
      <c r="AA1035" s="36"/>
      <c r="AB1035" s="36"/>
      <c r="AC1035" s="36"/>
      <c r="AD1035" s="36"/>
      <c r="AE1035" s="36"/>
      <c r="AF1035" s="36"/>
      <c r="AG1035" s="36"/>
      <c r="AH1035" s="36"/>
    </row>
    <row r="1036">
      <c r="A1036" s="34"/>
      <c r="B1036" s="35"/>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6"/>
      <c r="AA1036" s="36"/>
      <c r="AB1036" s="36"/>
      <c r="AC1036" s="36"/>
      <c r="AD1036" s="36"/>
      <c r="AE1036" s="36"/>
      <c r="AF1036" s="36"/>
      <c r="AG1036" s="36"/>
      <c r="AH1036" s="36"/>
    </row>
    <row r="1037">
      <c r="A1037" s="34"/>
      <c r="B1037" s="35"/>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6"/>
      <c r="AA1037" s="36"/>
      <c r="AB1037" s="36"/>
      <c r="AC1037" s="36"/>
      <c r="AD1037" s="36"/>
      <c r="AE1037" s="36"/>
      <c r="AF1037" s="36"/>
      <c r="AG1037" s="36"/>
      <c r="AH1037" s="36"/>
    </row>
    <row r="1038">
      <c r="A1038" s="34"/>
      <c r="B1038" s="35"/>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6"/>
      <c r="AA1038" s="36"/>
      <c r="AB1038" s="36"/>
      <c r="AC1038" s="36"/>
      <c r="AD1038" s="36"/>
      <c r="AE1038" s="36"/>
      <c r="AF1038" s="36"/>
      <c r="AG1038" s="36"/>
      <c r="AH1038" s="36"/>
    </row>
    <row r="1039">
      <c r="A1039" s="34"/>
      <c r="B1039" s="35"/>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6"/>
      <c r="AA1039" s="36"/>
      <c r="AB1039" s="36"/>
      <c r="AC1039" s="36"/>
      <c r="AD1039" s="36"/>
      <c r="AE1039" s="36"/>
      <c r="AF1039" s="36"/>
      <c r="AG1039" s="36"/>
      <c r="AH1039" s="36"/>
    </row>
    <row r="1040">
      <c r="A1040" s="34"/>
      <c r="B1040" s="35"/>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6"/>
      <c r="AA1040" s="36"/>
      <c r="AB1040" s="36"/>
      <c r="AC1040" s="36"/>
      <c r="AD1040" s="36"/>
      <c r="AE1040" s="36"/>
      <c r="AF1040" s="36"/>
      <c r="AG1040" s="36"/>
      <c r="AH1040" s="36"/>
    </row>
    <row r="1041">
      <c r="A1041" s="34"/>
      <c r="B1041" s="35"/>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6"/>
      <c r="AA1041" s="36"/>
      <c r="AB1041" s="36"/>
      <c r="AC1041" s="36"/>
      <c r="AD1041" s="36"/>
      <c r="AE1041" s="36"/>
      <c r="AF1041" s="36"/>
      <c r="AG1041" s="36"/>
      <c r="AH1041" s="36"/>
    </row>
    <row r="1042">
      <c r="A1042" s="34"/>
      <c r="B1042" s="35"/>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6"/>
      <c r="AA1042" s="36"/>
      <c r="AB1042" s="36"/>
      <c r="AC1042" s="36"/>
      <c r="AD1042" s="36"/>
      <c r="AE1042" s="36"/>
      <c r="AF1042" s="36"/>
      <c r="AG1042" s="36"/>
      <c r="AH1042" s="36"/>
    </row>
    <row r="1043">
      <c r="A1043" s="34"/>
      <c r="B1043" s="35"/>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6"/>
      <c r="AA1043" s="36"/>
      <c r="AB1043" s="36"/>
      <c r="AC1043" s="36"/>
      <c r="AD1043" s="36"/>
      <c r="AE1043" s="36"/>
      <c r="AF1043" s="36"/>
      <c r="AG1043" s="36"/>
      <c r="AH1043" s="36"/>
    </row>
    <row r="1044">
      <c r="A1044" s="34"/>
      <c r="B1044" s="35"/>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6"/>
      <c r="AA1044" s="36"/>
      <c r="AB1044" s="36"/>
      <c r="AC1044" s="36"/>
      <c r="AD1044" s="36"/>
      <c r="AE1044" s="36"/>
      <c r="AF1044" s="36"/>
      <c r="AG1044" s="36"/>
      <c r="AH1044" s="36"/>
    </row>
    <row r="1045">
      <c r="A1045" s="34"/>
      <c r="B1045" s="35"/>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6"/>
      <c r="AA1045" s="36"/>
      <c r="AB1045" s="36"/>
      <c r="AC1045" s="36"/>
      <c r="AD1045" s="36"/>
      <c r="AE1045" s="36"/>
      <c r="AF1045" s="36"/>
      <c r="AG1045" s="36"/>
      <c r="AH1045" s="36"/>
    </row>
    <row r="1046">
      <c r="A1046" s="34"/>
      <c r="B1046" s="35"/>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6"/>
      <c r="AA1046" s="36"/>
      <c r="AB1046" s="36"/>
      <c r="AC1046" s="36"/>
      <c r="AD1046" s="36"/>
      <c r="AE1046" s="36"/>
      <c r="AF1046" s="36"/>
      <c r="AG1046" s="36"/>
      <c r="AH1046" s="36"/>
    </row>
    <row r="1047">
      <c r="A1047" s="34"/>
      <c r="B1047" s="35"/>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6"/>
      <c r="AA1047" s="36"/>
      <c r="AB1047" s="36"/>
      <c r="AC1047" s="36"/>
      <c r="AD1047" s="36"/>
      <c r="AE1047" s="36"/>
      <c r="AF1047" s="36"/>
      <c r="AG1047" s="36"/>
      <c r="AH1047" s="36"/>
    </row>
    <row r="1048">
      <c r="A1048" s="34"/>
      <c r="B1048" s="35"/>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6"/>
      <c r="AA1048" s="36"/>
      <c r="AB1048" s="36"/>
      <c r="AC1048" s="36"/>
      <c r="AD1048" s="36"/>
      <c r="AE1048" s="36"/>
      <c r="AF1048" s="36"/>
      <c r="AG1048" s="36"/>
      <c r="AH1048" s="36"/>
    </row>
    <row r="1049">
      <c r="A1049" s="34"/>
      <c r="B1049" s="35"/>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6"/>
      <c r="AA1049" s="36"/>
      <c r="AB1049" s="36"/>
      <c r="AC1049" s="36"/>
      <c r="AD1049" s="36"/>
      <c r="AE1049" s="36"/>
      <c r="AF1049" s="36"/>
      <c r="AG1049" s="36"/>
      <c r="AH1049" s="36"/>
    </row>
    <row r="1050">
      <c r="A1050" s="34"/>
      <c r="B1050" s="35"/>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6"/>
      <c r="AA1050" s="36"/>
      <c r="AB1050" s="36"/>
      <c r="AC1050" s="36"/>
      <c r="AD1050" s="36"/>
      <c r="AE1050" s="36"/>
      <c r="AF1050" s="36"/>
      <c r="AG1050" s="36"/>
      <c r="AH1050" s="36"/>
    </row>
    <row r="1051">
      <c r="A1051" s="34"/>
      <c r="B1051" s="35"/>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6"/>
      <c r="AA1051" s="36"/>
      <c r="AB1051" s="36"/>
      <c r="AC1051" s="36"/>
      <c r="AD1051" s="36"/>
      <c r="AE1051" s="36"/>
      <c r="AF1051" s="36"/>
      <c r="AG1051" s="36"/>
      <c r="AH1051" s="36"/>
    </row>
    <row r="1052">
      <c r="A1052" s="34"/>
      <c r="B1052" s="35"/>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6"/>
      <c r="AA1052" s="36"/>
      <c r="AB1052" s="36"/>
      <c r="AC1052" s="36"/>
      <c r="AD1052" s="36"/>
      <c r="AE1052" s="36"/>
      <c r="AF1052" s="36"/>
      <c r="AG1052" s="36"/>
      <c r="AH1052" s="36"/>
    </row>
    <row r="1053">
      <c r="A1053" s="34"/>
      <c r="B1053" s="35"/>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6"/>
      <c r="AA1053" s="36"/>
      <c r="AB1053" s="36"/>
      <c r="AC1053" s="36"/>
      <c r="AD1053" s="36"/>
      <c r="AE1053" s="36"/>
      <c r="AF1053" s="36"/>
      <c r="AG1053" s="36"/>
      <c r="AH1053" s="36"/>
    </row>
    <row r="1054">
      <c r="A1054" s="34"/>
      <c r="B1054" s="35"/>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6"/>
      <c r="AA1054" s="36"/>
      <c r="AB1054" s="36"/>
      <c r="AC1054" s="36"/>
      <c r="AD1054" s="36"/>
      <c r="AE1054" s="36"/>
      <c r="AF1054" s="36"/>
      <c r="AG1054" s="36"/>
      <c r="AH1054" s="36"/>
    </row>
    <row r="1055">
      <c r="A1055" s="34"/>
      <c r="B1055" s="35"/>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6"/>
      <c r="AA1055" s="36"/>
      <c r="AB1055" s="36"/>
      <c r="AC1055" s="36"/>
      <c r="AD1055" s="36"/>
      <c r="AE1055" s="36"/>
      <c r="AF1055" s="36"/>
      <c r="AG1055" s="36"/>
      <c r="AH1055" s="36"/>
    </row>
    <row r="1056">
      <c r="A1056" s="34"/>
      <c r="B1056" s="35"/>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6"/>
      <c r="AA1056" s="36"/>
      <c r="AB1056" s="36"/>
      <c r="AC1056" s="36"/>
      <c r="AD1056" s="36"/>
      <c r="AE1056" s="36"/>
      <c r="AF1056" s="36"/>
      <c r="AG1056" s="36"/>
      <c r="AH1056" s="36"/>
    </row>
    <row r="1057">
      <c r="A1057" s="34"/>
      <c r="B1057" s="35"/>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6"/>
      <c r="AA1057" s="36"/>
      <c r="AB1057" s="36"/>
      <c r="AC1057" s="36"/>
      <c r="AD1057" s="36"/>
      <c r="AE1057" s="36"/>
      <c r="AF1057" s="36"/>
      <c r="AG1057" s="36"/>
      <c r="AH1057" s="36"/>
    </row>
    <row r="1058">
      <c r="A1058" s="34"/>
      <c r="B1058" s="35"/>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6"/>
      <c r="AA1058" s="36"/>
      <c r="AB1058" s="36"/>
      <c r="AC1058" s="36"/>
      <c r="AD1058" s="36"/>
      <c r="AE1058" s="36"/>
      <c r="AF1058" s="36"/>
      <c r="AG1058" s="36"/>
      <c r="AH1058" s="36"/>
    </row>
    <row r="1059">
      <c r="A1059" s="34"/>
      <c r="B1059" s="35"/>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6"/>
      <c r="AA1059" s="36"/>
      <c r="AB1059" s="36"/>
      <c r="AC1059" s="36"/>
      <c r="AD1059" s="36"/>
      <c r="AE1059" s="36"/>
      <c r="AF1059" s="36"/>
      <c r="AG1059" s="36"/>
      <c r="AH1059" s="36"/>
    </row>
    <row r="1060">
      <c r="A1060" s="34"/>
      <c r="B1060" s="35"/>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6"/>
      <c r="AA1060" s="36"/>
      <c r="AB1060" s="36"/>
      <c r="AC1060" s="36"/>
      <c r="AD1060" s="36"/>
      <c r="AE1060" s="36"/>
      <c r="AF1060" s="36"/>
      <c r="AG1060" s="36"/>
      <c r="AH1060" s="36"/>
    </row>
    <row r="1061">
      <c r="A1061" s="34"/>
      <c r="B1061" s="35"/>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6"/>
      <c r="AA1061" s="36"/>
      <c r="AB1061" s="36"/>
      <c r="AC1061" s="36"/>
      <c r="AD1061" s="36"/>
      <c r="AE1061" s="36"/>
      <c r="AF1061" s="36"/>
      <c r="AG1061" s="36"/>
      <c r="AH1061" s="36"/>
    </row>
    <row r="1062">
      <c r="A1062" s="34"/>
      <c r="B1062" s="35"/>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6"/>
      <c r="AA1062" s="36"/>
      <c r="AB1062" s="36"/>
      <c r="AC1062" s="36"/>
      <c r="AD1062" s="36"/>
      <c r="AE1062" s="36"/>
      <c r="AF1062" s="36"/>
      <c r="AG1062" s="36"/>
      <c r="AH1062" s="36"/>
    </row>
    <row r="1063">
      <c r="A1063" s="34"/>
      <c r="B1063" s="35"/>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6"/>
      <c r="AA1063" s="36"/>
      <c r="AB1063" s="36"/>
      <c r="AC1063" s="36"/>
      <c r="AD1063" s="36"/>
      <c r="AE1063" s="36"/>
      <c r="AF1063" s="36"/>
      <c r="AG1063" s="36"/>
      <c r="AH1063" s="36"/>
    </row>
    <row r="1064">
      <c r="A1064" s="34"/>
      <c r="B1064" s="35"/>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6"/>
      <c r="AA1064" s="36"/>
      <c r="AB1064" s="36"/>
      <c r="AC1064" s="36"/>
      <c r="AD1064" s="36"/>
      <c r="AE1064" s="36"/>
      <c r="AF1064" s="36"/>
      <c r="AG1064" s="36"/>
      <c r="AH1064" s="36"/>
    </row>
    <row r="1065">
      <c r="A1065" s="34"/>
      <c r="B1065" s="35"/>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6"/>
      <c r="AA1065" s="36"/>
      <c r="AB1065" s="36"/>
      <c r="AC1065" s="36"/>
      <c r="AD1065" s="36"/>
      <c r="AE1065" s="36"/>
      <c r="AF1065" s="36"/>
      <c r="AG1065" s="36"/>
      <c r="AH1065" s="36"/>
    </row>
    <row r="1066">
      <c r="A1066" s="34"/>
      <c r="B1066" s="35"/>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6"/>
      <c r="AA1066" s="36"/>
      <c r="AB1066" s="36"/>
      <c r="AC1066" s="36"/>
      <c r="AD1066" s="36"/>
      <c r="AE1066" s="36"/>
      <c r="AF1066" s="36"/>
      <c r="AG1066" s="36"/>
      <c r="AH1066" s="36"/>
    </row>
    <row r="1067">
      <c r="A1067" s="34"/>
      <c r="B1067" s="35"/>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6"/>
      <c r="AA1067" s="36"/>
      <c r="AB1067" s="36"/>
      <c r="AC1067" s="36"/>
      <c r="AD1067" s="36"/>
      <c r="AE1067" s="36"/>
      <c r="AF1067" s="36"/>
      <c r="AG1067" s="36"/>
      <c r="AH1067" s="36"/>
    </row>
    <row r="1068">
      <c r="A1068" s="34"/>
      <c r="B1068" s="35"/>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6"/>
      <c r="AA1068" s="36"/>
      <c r="AB1068" s="36"/>
      <c r="AC1068" s="36"/>
      <c r="AD1068" s="36"/>
      <c r="AE1068" s="36"/>
      <c r="AF1068" s="36"/>
      <c r="AG1068" s="36"/>
      <c r="AH1068" s="36"/>
    </row>
    <row r="1069">
      <c r="A1069" s="34"/>
      <c r="B1069" s="35"/>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6"/>
      <c r="AA1069" s="36"/>
      <c r="AB1069" s="36"/>
      <c r="AC1069" s="36"/>
      <c r="AD1069" s="36"/>
      <c r="AE1069" s="36"/>
      <c r="AF1069" s="36"/>
      <c r="AG1069" s="36"/>
      <c r="AH1069" s="36"/>
    </row>
    <row r="1070">
      <c r="A1070" s="34"/>
      <c r="B1070" s="35"/>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6"/>
      <c r="AA1070" s="36"/>
      <c r="AB1070" s="36"/>
      <c r="AC1070" s="36"/>
      <c r="AD1070" s="36"/>
      <c r="AE1070" s="36"/>
      <c r="AF1070" s="36"/>
      <c r="AG1070" s="36"/>
      <c r="AH1070" s="36"/>
    </row>
    <row r="1071">
      <c r="A1071" s="34"/>
      <c r="B1071" s="35"/>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6"/>
      <c r="AA1071" s="36"/>
      <c r="AB1071" s="36"/>
      <c r="AC1071" s="36"/>
      <c r="AD1071" s="36"/>
      <c r="AE1071" s="36"/>
      <c r="AF1071" s="36"/>
      <c r="AG1071" s="36"/>
      <c r="AH1071" s="36"/>
    </row>
    <row r="1072">
      <c r="A1072" s="34"/>
      <c r="B1072" s="35"/>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6"/>
      <c r="AA1072" s="36"/>
      <c r="AB1072" s="36"/>
      <c r="AC1072" s="36"/>
      <c r="AD1072" s="36"/>
      <c r="AE1072" s="36"/>
      <c r="AF1072" s="36"/>
      <c r="AG1072" s="36"/>
      <c r="AH1072" s="36"/>
    </row>
    <row r="1073">
      <c r="A1073" s="34"/>
      <c r="B1073" s="35"/>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6"/>
      <c r="AA1073" s="36"/>
      <c r="AB1073" s="36"/>
      <c r="AC1073" s="36"/>
      <c r="AD1073" s="36"/>
      <c r="AE1073" s="36"/>
      <c r="AF1073" s="36"/>
      <c r="AG1073" s="36"/>
      <c r="AH1073" s="36"/>
    </row>
    <row r="1074">
      <c r="A1074" s="34"/>
      <c r="B1074" s="35"/>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6"/>
      <c r="AA1074" s="36"/>
      <c r="AB1074" s="36"/>
      <c r="AC1074" s="36"/>
      <c r="AD1074" s="36"/>
      <c r="AE1074" s="36"/>
      <c r="AF1074" s="36"/>
      <c r="AG1074" s="36"/>
      <c r="AH1074" s="36"/>
    </row>
    <row r="1075">
      <c r="A1075" s="34"/>
      <c r="B1075" s="35"/>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6"/>
      <c r="AA1075" s="36"/>
      <c r="AB1075" s="36"/>
      <c r="AC1075" s="36"/>
      <c r="AD1075" s="36"/>
      <c r="AE1075" s="36"/>
      <c r="AF1075" s="36"/>
      <c r="AG1075" s="36"/>
      <c r="AH1075" s="36"/>
    </row>
    <row r="1076">
      <c r="A1076" s="34"/>
      <c r="B1076" s="35"/>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6"/>
      <c r="AA1076" s="36"/>
      <c r="AB1076" s="36"/>
      <c r="AC1076" s="36"/>
      <c r="AD1076" s="36"/>
      <c r="AE1076" s="36"/>
      <c r="AF1076" s="36"/>
      <c r="AG1076" s="36"/>
      <c r="AH1076" s="36"/>
    </row>
    <row r="1077">
      <c r="A1077" s="34"/>
      <c r="B1077" s="35"/>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6"/>
      <c r="AA1077" s="36"/>
      <c r="AB1077" s="36"/>
      <c r="AC1077" s="36"/>
      <c r="AD1077" s="36"/>
      <c r="AE1077" s="36"/>
      <c r="AF1077" s="36"/>
      <c r="AG1077" s="36"/>
      <c r="AH1077" s="36"/>
    </row>
    <row r="1078">
      <c r="A1078" s="34"/>
      <c r="B1078" s="35"/>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6"/>
      <c r="AA1078" s="36"/>
      <c r="AB1078" s="36"/>
      <c r="AC1078" s="36"/>
      <c r="AD1078" s="36"/>
      <c r="AE1078" s="36"/>
      <c r="AF1078" s="36"/>
      <c r="AG1078" s="36"/>
      <c r="AH1078" s="36"/>
    </row>
    <row r="1079">
      <c r="A1079" s="34"/>
      <c r="B1079" s="35"/>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6"/>
      <c r="AA1079" s="36"/>
      <c r="AB1079" s="36"/>
      <c r="AC1079" s="36"/>
      <c r="AD1079" s="36"/>
      <c r="AE1079" s="36"/>
      <c r="AF1079" s="36"/>
      <c r="AG1079" s="36"/>
      <c r="AH1079" s="36"/>
    </row>
    <row r="1080">
      <c r="A1080" s="34"/>
      <c r="B1080" s="35"/>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6"/>
      <c r="AA1080" s="36"/>
      <c r="AB1080" s="36"/>
      <c r="AC1080" s="36"/>
      <c r="AD1080" s="36"/>
      <c r="AE1080" s="36"/>
      <c r="AF1080" s="36"/>
      <c r="AG1080" s="36"/>
      <c r="AH1080" s="36"/>
    </row>
    <row r="1081">
      <c r="A1081" s="34"/>
      <c r="B1081" s="35"/>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6"/>
      <c r="AA1081" s="36"/>
      <c r="AB1081" s="36"/>
      <c r="AC1081" s="36"/>
      <c r="AD1081" s="36"/>
      <c r="AE1081" s="36"/>
      <c r="AF1081" s="36"/>
      <c r="AG1081" s="36"/>
      <c r="AH1081" s="36"/>
    </row>
    <row r="1082">
      <c r="A1082" s="34"/>
      <c r="B1082" s="35"/>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6"/>
      <c r="AA1082" s="36"/>
      <c r="AB1082" s="36"/>
      <c r="AC1082" s="36"/>
      <c r="AD1082" s="36"/>
      <c r="AE1082" s="36"/>
      <c r="AF1082" s="36"/>
      <c r="AG1082" s="36"/>
      <c r="AH1082" s="36"/>
    </row>
    <row r="1083">
      <c r="A1083" s="34"/>
      <c r="B1083" s="35"/>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6"/>
      <c r="AA1083" s="36"/>
      <c r="AB1083" s="36"/>
      <c r="AC1083" s="36"/>
      <c r="AD1083" s="36"/>
      <c r="AE1083" s="36"/>
      <c r="AF1083" s="36"/>
      <c r="AG1083" s="36"/>
      <c r="AH1083" s="36"/>
    </row>
    <row r="1084">
      <c r="A1084" s="34"/>
      <c r="B1084" s="35"/>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6"/>
      <c r="AA1084" s="36"/>
      <c r="AB1084" s="36"/>
      <c r="AC1084" s="36"/>
      <c r="AD1084" s="36"/>
      <c r="AE1084" s="36"/>
      <c r="AF1084" s="36"/>
      <c r="AG1084" s="36"/>
      <c r="AH1084" s="36"/>
    </row>
    <row r="1085">
      <c r="A1085" s="34"/>
      <c r="B1085" s="35"/>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6"/>
      <c r="AA1085" s="36"/>
      <c r="AB1085" s="36"/>
      <c r="AC1085" s="36"/>
      <c r="AD1085" s="36"/>
      <c r="AE1085" s="36"/>
      <c r="AF1085" s="36"/>
      <c r="AG1085" s="36"/>
      <c r="AH1085" s="36"/>
    </row>
    <row r="1086">
      <c r="A1086" s="34"/>
      <c r="B1086" s="35"/>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6"/>
      <c r="AA1086" s="36"/>
      <c r="AB1086" s="36"/>
      <c r="AC1086" s="36"/>
      <c r="AD1086" s="36"/>
      <c r="AE1086" s="36"/>
      <c r="AF1086" s="36"/>
      <c r="AG1086" s="36"/>
      <c r="AH1086" s="36"/>
    </row>
    <row r="1087">
      <c r="A1087" s="34"/>
      <c r="B1087" s="35"/>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6"/>
      <c r="AA1087" s="36"/>
      <c r="AB1087" s="36"/>
      <c r="AC1087" s="36"/>
      <c r="AD1087" s="36"/>
      <c r="AE1087" s="36"/>
      <c r="AF1087" s="36"/>
      <c r="AG1087" s="36"/>
      <c r="AH1087" s="36"/>
    </row>
    <row r="1088">
      <c r="A1088" s="34"/>
      <c r="B1088" s="35"/>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6"/>
      <c r="AA1088" s="36"/>
      <c r="AB1088" s="36"/>
      <c r="AC1088" s="36"/>
      <c r="AD1088" s="36"/>
      <c r="AE1088" s="36"/>
      <c r="AF1088" s="36"/>
      <c r="AG1088" s="36"/>
      <c r="AH1088" s="36"/>
    </row>
    <row r="1089">
      <c r="A1089" s="34"/>
      <c r="B1089" s="35"/>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6"/>
      <c r="AA1089" s="36"/>
      <c r="AB1089" s="36"/>
      <c r="AC1089" s="36"/>
      <c r="AD1089" s="36"/>
      <c r="AE1089" s="36"/>
      <c r="AF1089" s="36"/>
      <c r="AG1089" s="36"/>
      <c r="AH1089" s="36"/>
    </row>
    <row r="1090">
      <c r="A1090" s="34"/>
      <c r="B1090" s="35"/>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6"/>
      <c r="AA1090" s="36"/>
      <c r="AB1090" s="36"/>
      <c r="AC1090" s="36"/>
      <c r="AD1090" s="36"/>
      <c r="AE1090" s="36"/>
      <c r="AF1090" s="36"/>
      <c r="AG1090" s="36"/>
      <c r="AH1090" s="36"/>
    </row>
    <row r="1091">
      <c r="A1091" s="34"/>
      <c r="B1091" s="35"/>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6"/>
      <c r="AA1091" s="36"/>
      <c r="AB1091" s="36"/>
      <c r="AC1091" s="36"/>
      <c r="AD1091" s="36"/>
      <c r="AE1091" s="36"/>
      <c r="AF1091" s="36"/>
      <c r="AG1091" s="36"/>
      <c r="AH1091" s="36"/>
    </row>
    <row r="1092">
      <c r="A1092" s="34"/>
      <c r="B1092" s="35"/>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6"/>
      <c r="AA1092" s="36"/>
      <c r="AB1092" s="36"/>
      <c r="AC1092" s="36"/>
      <c r="AD1092" s="36"/>
      <c r="AE1092" s="36"/>
      <c r="AF1092" s="36"/>
      <c r="AG1092" s="36"/>
      <c r="AH1092" s="36"/>
    </row>
    <row r="1093">
      <c r="A1093" s="34"/>
      <c r="B1093" s="35"/>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6"/>
      <c r="AA1093" s="36"/>
      <c r="AB1093" s="36"/>
      <c r="AC1093" s="36"/>
      <c r="AD1093" s="36"/>
      <c r="AE1093" s="36"/>
      <c r="AF1093" s="36"/>
      <c r="AG1093" s="36"/>
      <c r="AH1093" s="36"/>
    </row>
    <row r="1094">
      <c r="A1094" s="34"/>
      <c r="B1094" s="35"/>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6"/>
      <c r="AA1094" s="36"/>
      <c r="AB1094" s="36"/>
      <c r="AC1094" s="36"/>
      <c r="AD1094" s="36"/>
      <c r="AE1094" s="36"/>
      <c r="AF1094" s="36"/>
      <c r="AG1094" s="36"/>
      <c r="AH1094" s="36"/>
    </row>
    <row r="1095">
      <c r="A1095" s="34"/>
      <c r="B1095" s="35"/>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6"/>
      <c r="AA1095" s="36"/>
      <c r="AB1095" s="36"/>
      <c r="AC1095" s="36"/>
      <c r="AD1095" s="36"/>
      <c r="AE1095" s="36"/>
      <c r="AF1095" s="36"/>
      <c r="AG1095" s="36"/>
      <c r="AH1095" s="36"/>
    </row>
    <row r="1096">
      <c r="A1096" s="34"/>
      <c r="B1096" s="35"/>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6"/>
      <c r="AA1096" s="36"/>
      <c r="AB1096" s="36"/>
      <c r="AC1096" s="36"/>
      <c r="AD1096" s="36"/>
      <c r="AE1096" s="36"/>
      <c r="AF1096" s="36"/>
      <c r="AG1096" s="36"/>
      <c r="AH1096" s="36"/>
    </row>
    <row r="1097">
      <c r="A1097" s="34"/>
      <c r="B1097" s="35"/>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6"/>
      <c r="AA1097" s="36"/>
      <c r="AB1097" s="36"/>
      <c r="AC1097" s="36"/>
      <c r="AD1097" s="36"/>
      <c r="AE1097" s="36"/>
      <c r="AF1097" s="36"/>
      <c r="AG1097" s="36"/>
      <c r="AH1097" s="36"/>
    </row>
    <row r="1098">
      <c r="A1098" s="34"/>
      <c r="B1098" s="35"/>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6"/>
      <c r="AA1098" s="36"/>
      <c r="AB1098" s="36"/>
      <c r="AC1098" s="36"/>
      <c r="AD1098" s="36"/>
      <c r="AE1098" s="36"/>
      <c r="AF1098" s="36"/>
      <c r="AG1098" s="36"/>
      <c r="AH1098" s="36"/>
    </row>
    <row r="1099">
      <c r="A1099" s="34"/>
      <c r="B1099" s="35"/>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6"/>
      <c r="AA1099" s="36"/>
      <c r="AB1099" s="36"/>
      <c r="AC1099" s="36"/>
      <c r="AD1099" s="36"/>
      <c r="AE1099" s="36"/>
      <c r="AF1099" s="36"/>
      <c r="AG1099" s="36"/>
      <c r="AH1099" s="36"/>
    </row>
    <row r="1100">
      <c r="A1100" s="34"/>
      <c r="B1100" s="35"/>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6"/>
      <c r="AA1100" s="36"/>
      <c r="AB1100" s="36"/>
      <c r="AC1100" s="36"/>
      <c r="AD1100" s="36"/>
      <c r="AE1100" s="36"/>
      <c r="AF1100" s="36"/>
      <c r="AG1100" s="36"/>
      <c r="AH1100" s="36"/>
    </row>
    <row r="1101">
      <c r="A1101" s="34"/>
      <c r="B1101" s="35"/>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6"/>
      <c r="AA1101" s="36"/>
      <c r="AB1101" s="36"/>
      <c r="AC1101" s="36"/>
      <c r="AD1101" s="36"/>
      <c r="AE1101" s="36"/>
      <c r="AF1101" s="36"/>
      <c r="AG1101" s="36"/>
      <c r="AH1101" s="36"/>
    </row>
    <row r="1102">
      <c r="A1102" s="34"/>
      <c r="B1102" s="35"/>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6"/>
      <c r="AA1102" s="36"/>
      <c r="AB1102" s="36"/>
      <c r="AC1102" s="36"/>
      <c r="AD1102" s="36"/>
      <c r="AE1102" s="36"/>
      <c r="AF1102" s="36"/>
      <c r="AG1102" s="36"/>
      <c r="AH1102" s="36"/>
    </row>
    <row r="1103">
      <c r="A1103" s="34"/>
      <c r="B1103" s="35"/>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6"/>
      <c r="AA1103" s="36"/>
      <c r="AB1103" s="36"/>
      <c r="AC1103" s="36"/>
      <c r="AD1103" s="36"/>
      <c r="AE1103" s="36"/>
      <c r="AF1103" s="36"/>
      <c r="AG1103" s="36"/>
      <c r="AH1103" s="36"/>
    </row>
    <row r="1104">
      <c r="A1104" s="34"/>
      <c r="B1104" s="35"/>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6"/>
      <c r="AA1104" s="36"/>
      <c r="AB1104" s="36"/>
      <c r="AC1104" s="36"/>
      <c r="AD1104" s="36"/>
      <c r="AE1104" s="36"/>
      <c r="AF1104" s="36"/>
      <c r="AG1104" s="36"/>
      <c r="AH1104" s="36"/>
    </row>
    <row r="1105">
      <c r="A1105" s="34"/>
      <c r="B1105" s="35"/>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6"/>
      <c r="AA1105" s="36"/>
      <c r="AB1105" s="36"/>
      <c r="AC1105" s="36"/>
      <c r="AD1105" s="36"/>
      <c r="AE1105" s="36"/>
      <c r="AF1105" s="36"/>
      <c r="AG1105" s="36"/>
      <c r="AH1105" s="36"/>
    </row>
    <row r="1106">
      <c r="A1106" s="34"/>
      <c r="B1106" s="35"/>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6"/>
      <c r="AA1106" s="36"/>
      <c r="AB1106" s="36"/>
      <c r="AC1106" s="36"/>
      <c r="AD1106" s="36"/>
      <c r="AE1106" s="36"/>
      <c r="AF1106" s="36"/>
      <c r="AG1106" s="36"/>
      <c r="AH1106" s="36"/>
    </row>
    <row r="1107">
      <c r="A1107" s="34"/>
      <c r="B1107" s="35"/>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6"/>
      <c r="AA1107" s="36"/>
      <c r="AB1107" s="36"/>
      <c r="AC1107" s="36"/>
      <c r="AD1107" s="36"/>
      <c r="AE1107" s="36"/>
      <c r="AF1107" s="36"/>
      <c r="AG1107" s="36"/>
      <c r="AH1107" s="36"/>
    </row>
    <row r="1108">
      <c r="A1108" s="34"/>
      <c r="B1108" s="35"/>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6"/>
      <c r="AA1108" s="36"/>
      <c r="AB1108" s="36"/>
      <c r="AC1108" s="36"/>
      <c r="AD1108" s="36"/>
      <c r="AE1108" s="36"/>
      <c r="AF1108" s="36"/>
      <c r="AG1108" s="36"/>
      <c r="AH1108" s="36"/>
    </row>
    <row r="1109">
      <c r="A1109" s="34"/>
      <c r="B1109" s="35"/>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6"/>
      <c r="AA1109" s="36"/>
      <c r="AB1109" s="36"/>
      <c r="AC1109" s="36"/>
      <c r="AD1109" s="36"/>
      <c r="AE1109" s="36"/>
      <c r="AF1109" s="36"/>
      <c r="AG1109" s="36"/>
      <c r="AH1109" s="36"/>
    </row>
    <row r="1110">
      <c r="A1110" s="34"/>
      <c r="B1110" s="35"/>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6"/>
      <c r="AA1110" s="36"/>
      <c r="AB1110" s="36"/>
      <c r="AC1110" s="36"/>
      <c r="AD1110" s="36"/>
      <c r="AE1110" s="36"/>
      <c r="AF1110" s="36"/>
      <c r="AG1110" s="36"/>
      <c r="AH1110" s="36"/>
    </row>
    <row r="1111">
      <c r="A1111" s="34"/>
      <c r="B1111" s="35"/>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6"/>
      <c r="AA1111" s="36"/>
      <c r="AB1111" s="36"/>
      <c r="AC1111" s="36"/>
      <c r="AD1111" s="36"/>
      <c r="AE1111" s="36"/>
      <c r="AF1111" s="36"/>
      <c r="AG1111" s="36"/>
      <c r="AH1111" s="36"/>
    </row>
    <row r="1112">
      <c r="A1112" s="34"/>
      <c r="B1112" s="35"/>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6"/>
      <c r="AA1112" s="36"/>
      <c r="AB1112" s="36"/>
      <c r="AC1112" s="36"/>
      <c r="AD1112" s="36"/>
      <c r="AE1112" s="36"/>
      <c r="AF1112" s="36"/>
      <c r="AG1112" s="36"/>
      <c r="AH1112" s="36"/>
    </row>
    <row r="1113">
      <c r="A1113" s="34"/>
      <c r="B1113" s="35"/>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6"/>
      <c r="AA1113" s="36"/>
      <c r="AB1113" s="36"/>
      <c r="AC1113" s="36"/>
      <c r="AD1113" s="36"/>
      <c r="AE1113" s="36"/>
      <c r="AF1113" s="36"/>
      <c r="AG1113" s="36"/>
      <c r="AH1113" s="36"/>
    </row>
    <row r="1114">
      <c r="A1114" s="34"/>
      <c r="B1114" s="35"/>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6"/>
      <c r="AA1114" s="36"/>
      <c r="AB1114" s="36"/>
      <c r="AC1114" s="36"/>
      <c r="AD1114" s="36"/>
      <c r="AE1114" s="36"/>
      <c r="AF1114" s="36"/>
      <c r="AG1114" s="36"/>
      <c r="AH1114" s="36"/>
    </row>
    <row r="1115">
      <c r="A1115" s="34"/>
      <c r="B1115" s="35"/>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6"/>
      <c r="AA1115" s="36"/>
      <c r="AB1115" s="36"/>
      <c r="AC1115" s="36"/>
      <c r="AD1115" s="36"/>
      <c r="AE1115" s="36"/>
      <c r="AF1115" s="36"/>
      <c r="AG1115" s="36"/>
      <c r="AH1115" s="36"/>
    </row>
    <row r="1116">
      <c r="A1116" s="34"/>
      <c r="B1116" s="35"/>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6"/>
      <c r="AA1116" s="36"/>
      <c r="AB1116" s="36"/>
      <c r="AC1116" s="36"/>
      <c r="AD1116" s="36"/>
      <c r="AE1116" s="36"/>
      <c r="AF1116" s="36"/>
      <c r="AG1116" s="36"/>
      <c r="AH1116" s="36"/>
    </row>
    <row r="1117">
      <c r="A1117" s="34"/>
      <c r="B1117" s="35"/>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6"/>
      <c r="AA1117" s="36"/>
      <c r="AB1117" s="36"/>
      <c r="AC1117" s="36"/>
      <c r="AD1117" s="36"/>
      <c r="AE1117" s="36"/>
      <c r="AF1117" s="36"/>
      <c r="AG1117" s="36"/>
      <c r="AH1117" s="36"/>
    </row>
    <row r="1118">
      <c r="A1118" s="34"/>
      <c r="B1118" s="35"/>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6"/>
      <c r="AA1118" s="36"/>
      <c r="AB1118" s="36"/>
      <c r="AC1118" s="36"/>
      <c r="AD1118" s="36"/>
      <c r="AE1118" s="36"/>
      <c r="AF1118" s="36"/>
      <c r="AG1118" s="36"/>
      <c r="AH1118" s="36"/>
    </row>
    <row r="1119">
      <c r="A1119" s="34"/>
      <c r="B1119" s="35"/>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6"/>
      <c r="AA1119" s="36"/>
      <c r="AB1119" s="36"/>
      <c r="AC1119" s="36"/>
      <c r="AD1119" s="36"/>
      <c r="AE1119" s="36"/>
      <c r="AF1119" s="36"/>
      <c r="AG1119" s="36"/>
      <c r="AH1119" s="36"/>
    </row>
    <row r="1120">
      <c r="A1120" s="34"/>
      <c r="B1120" s="35"/>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6"/>
      <c r="AA1120" s="36"/>
      <c r="AB1120" s="36"/>
      <c r="AC1120" s="36"/>
      <c r="AD1120" s="36"/>
      <c r="AE1120" s="36"/>
      <c r="AF1120" s="36"/>
      <c r="AG1120" s="36"/>
      <c r="AH1120" s="36"/>
    </row>
    <row r="1121">
      <c r="A1121" s="34"/>
      <c r="B1121" s="35"/>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6"/>
      <c r="AA1121" s="36"/>
      <c r="AB1121" s="36"/>
      <c r="AC1121" s="36"/>
      <c r="AD1121" s="36"/>
      <c r="AE1121" s="36"/>
      <c r="AF1121" s="36"/>
      <c r="AG1121" s="36"/>
      <c r="AH1121" s="36"/>
    </row>
    <row r="1122">
      <c r="A1122" s="34"/>
      <c r="B1122" s="35"/>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6"/>
      <c r="AA1122" s="36"/>
      <c r="AB1122" s="36"/>
      <c r="AC1122" s="36"/>
      <c r="AD1122" s="36"/>
      <c r="AE1122" s="36"/>
      <c r="AF1122" s="36"/>
      <c r="AG1122" s="36"/>
      <c r="AH1122" s="36"/>
    </row>
    <row r="1123">
      <c r="A1123" s="34"/>
      <c r="B1123" s="35"/>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6"/>
      <c r="AA1123" s="36"/>
      <c r="AB1123" s="36"/>
      <c r="AC1123" s="36"/>
      <c r="AD1123" s="36"/>
      <c r="AE1123" s="36"/>
      <c r="AF1123" s="36"/>
      <c r="AG1123" s="36"/>
      <c r="AH1123" s="36"/>
    </row>
    <row r="1124">
      <c r="A1124" s="34"/>
      <c r="B1124" s="35"/>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6"/>
      <c r="AA1124" s="36"/>
      <c r="AB1124" s="36"/>
      <c r="AC1124" s="36"/>
      <c r="AD1124" s="36"/>
      <c r="AE1124" s="36"/>
      <c r="AF1124" s="36"/>
      <c r="AG1124" s="36"/>
      <c r="AH1124" s="36"/>
    </row>
    <row r="1125">
      <c r="A1125" s="34"/>
      <c r="B1125" s="35"/>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6"/>
      <c r="AA1125" s="36"/>
      <c r="AB1125" s="36"/>
      <c r="AC1125" s="36"/>
      <c r="AD1125" s="36"/>
      <c r="AE1125" s="36"/>
      <c r="AF1125" s="36"/>
      <c r="AG1125" s="36"/>
      <c r="AH1125" s="36"/>
    </row>
    <row r="1126">
      <c r="A1126" s="34"/>
      <c r="B1126" s="35"/>
      <c r="C1126" s="37"/>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6"/>
      <c r="AA1126" s="36"/>
      <c r="AB1126" s="36"/>
      <c r="AC1126" s="36"/>
      <c r="AD1126" s="36"/>
      <c r="AE1126" s="36"/>
      <c r="AF1126" s="36"/>
      <c r="AG1126" s="36"/>
      <c r="AH1126" s="36"/>
    </row>
  </sheetData>
  <conditionalFormatting sqref="A1:AH1126">
    <cfRule type="expression" dxfId="3" priority="1">
      <formula>or($A1="begin group", $A1="begin_group", $A1="end group", $A1="end_group")</formula>
    </cfRule>
  </conditionalFormatting>
  <conditionalFormatting sqref="A1:AH1126">
    <cfRule type="expression" dxfId="4" priority="2">
      <formula>or($A1="begin repeat", $A1="begin_repeat", $A1="end repeat", $A1="end_repeat")</formula>
    </cfRule>
  </conditionalFormatting>
  <dataValidations>
    <dataValidation type="list" allowBlank="1" sqref="K543:K639">
      <formula1>'👀 Appearances'!$B$7:$B$52</formula1>
    </dataValidation>
    <dataValidation type="list" allowBlank="1" sqref="K2:K368 K370:K374 K376:K385 K387:K394 K396:K400 K402:K409 K411:K418 K420:K427 K429:K438 K440:K447 K449:K459 K461:K473 K475:K488 K490:K542 K640:K1126">
      <formula1>'👀 Appearances'!$B$7:$B$52</formula1>
    </dataValidation>
    <dataValidation type="list" allowBlank="1" sqref="A2:A9 A11:A29 A31:A542 A640:A1126">
      <formula1>'⚙️ Types'!$B$8:$B$45</formula1>
    </dataValidation>
    <dataValidation type="list" allowBlank="1" sqref="A10 A543:A639">
      <formula1>'⚙️ Types'!$B$8:$B$45</formula1>
    </dataValidation>
    <dataValidation type="list" allowBlank="1" sqref="A30">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5" width="26.63"/>
  </cols>
  <sheetData>
    <row r="1" ht="27.75" customHeight="1">
      <c r="A1" s="6" t="s">
        <v>0</v>
      </c>
      <c r="B1" s="7" t="s">
        <v>12</v>
      </c>
      <c r="C1" s="9" t="s">
        <v>13</v>
      </c>
      <c r="D1" s="9" t="s">
        <v>14</v>
      </c>
      <c r="E1" s="9" t="s">
        <v>15</v>
      </c>
      <c r="F1" s="10"/>
      <c r="G1" s="10"/>
      <c r="H1" s="10"/>
      <c r="I1" s="10"/>
      <c r="J1" s="10"/>
      <c r="K1" s="10"/>
      <c r="L1" s="10"/>
      <c r="M1" s="10"/>
      <c r="N1" s="10"/>
      <c r="O1" s="10"/>
      <c r="P1" s="10"/>
      <c r="Q1" s="10"/>
      <c r="R1" s="10"/>
      <c r="S1" s="10"/>
      <c r="T1" s="10"/>
      <c r="U1" s="10"/>
      <c r="V1" s="10"/>
      <c r="W1" s="10"/>
      <c r="X1" s="10"/>
      <c r="Y1" s="10"/>
      <c r="Z1" s="10"/>
      <c r="AA1" s="10"/>
      <c r="AB1" s="10"/>
    </row>
    <row r="2">
      <c r="A2" s="11" t="s">
        <v>26</v>
      </c>
      <c r="B2" s="12" t="s">
        <v>29</v>
      </c>
      <c r="C2" s="11" t="s">
        <v>31</v>
      </c>
      <c r="D2" s="13" t="str">
        <f>IFERROR(__xludf.DUMMYFUNCTION("GOOGLETRANSLATE(C2,""en"",""fr"")"),"Je confirme avoir distribué le type et le nombre de médicaments énumérés ci-dessus.")</f>
        <v>Je confirme avoir distribué le type et le nombre de médicaments énumérés ci-dessus.</v>
      </c>
      <c r="E2" s="13" t="str">
        <f>IFERROR(__xludf.DUMMYFUNCTION("GOOGLETRANSLATE(C2,""en"",""ht"")"),"Mwen konfime mwen distribye kalite ak kantite medikaman ki nan lis anwo a.")</f>
        <v>Mwen konfime mwen distribye kalite ak kantite medikaman ki nan lis anwo a.</v>
      </c>
      <c r="F2" s="14"/>
      <c r="G2" s="14"/>
      <c r="H2" s="14"/>
      <c r="I2" s="14"/>
      <c r="J2" s="14"/>
      <c r="K2" s="14"/>
      <c r="L2" s="14"/>
      <c r="M2" s="14"/>
      <c r="N2" s="14"/>
      <c r="O2" s="14"/>
      <c r="P2" s="14"/>
      <c r="Q2" s="14"/>
      <c r="R2" s="14"/>
      <c r="S2" s="14"/>
      <c r="T2" s="14"/>
      <c r="U2" s="14"/>
      <c r="V2" s="14"/>
      <c r="W2" s="14"/>
      <c r="X2" s="14"/>
      <c r="Y2" s="14"/>
      <c r="Z2" s="14"/>
      <c r="AA2" s="14"/>
      <c r="AB2" s="14"/>
    </row>
    <row r="3">
      <c r="A3" s="11" t="s">
        <v>42</v>
      </c>
      <c r="B3" s="12" t="s">
        <v>43</v>
      </c>
      <c r="C3" s="11" t="s">
        <v>45</v>
      </c>
      <c r="D3" s="13" t="str">
        <f>IFERROR(__xludf.DUMMYFUNCTION("GOOGLETRANSLATE(C3,""en"",""fr"")"),"Paracétamol")</f>
        <v>Paracétamol</v>
      </c>
      <c r="E3" s="13" t="str">
        <f>IFERROR(__xludf.DUMMYFUNCTION("GOOGLETRANSLATE(C3,""en"",""ht"")"),"Parasetamol")</f>
        <v>Parasetamol</v>
      </c>
      <c r="F3" s="14"/>
      <c r="G3" s="14"/>
      <c r="H3" s="14"/>
      <c r="I3" s="14"/>
      <c r="J3" s="14"/>
      <c r="K3" s="14"/>
      <c r="L3" s="14"/>
      <c r="M3" s="14"/>
      <c r="N3" s="14"/>
      <c r="O3" s="14"/>
      <c r="P3" s="14"/>
      <c r="Q3" s="14"/>
      <c r="R3" s="14"/>
      <c r="S3" s="14"/>
      <c r="T3" s="14"/>
      <c r="U3" s="14"/>
      <c r="V3" s="14"/>
      <c r="W3" s="14"/>
      <c r="X3" s="14"/>
      <c r="Y3" s="14"/>
      <c r="Z3" s="14"/>
      <c r="AA3" s="14"/>
      <c r="AB3" s="14"/>
    </row>
    <row r="4">
      <c r="A4" s="11" t="s">
        <v>42</v>
      </c>
      <c r="B4" s="12" t="s">
        <v>47</v>
      </c>
      <c r="C4" s="11" t="s">
        <v>48</v>
      </c>
      <c r="D4" s="13" t="str">
        <f>IFERROR(__xludf.DUMMYFUNCTION("GOOGLETRANSLATE(C4,""en"",""fr"")"),"Fer et acide folique")</f>
        <v>Fer et acide folique</v>
      </c>
      <c r="E4" s="13" t="str">
        <f>IFERROR(__xludf.DUMMYFUNCTION("GOOGLETRANSLATE(C4,""en"",""ht"")"),"Fè ak asid folik")</f>
        <v>Fè ak asid folik</v>
      </c>
      <c r="F4" s="14"/>
      <c r="G4" s="14"/>
      <c r="H4" s="14"/>
      <c r="I4" s="14"/>
      <c r="J4" s="14"/>
      <c r="K4" s="14"/>
      <c r="L4" s="14"/>
      <c r="M4" s="14"/>
      <c r="N4" s="14"/>
      <c r="O4" s="14"/>
      <c r="P4" s="14"/>
      <c r="Q4" s="14"/>
      <c r="R4" s="14"/>
      <c r="S4" s="14"/>
      <c r="T4" s="14"/>
      <c r="U4" s="14"/>
      <c r="V4" s="14"/>
      <c r="W4" s="14"/>
      <c r="X4" s="14"/>
      <c r="Y4" s="14"/>
      <c r="Z4" s="14"/>
      <c r="AA4" s="14"/>
      <c r="AB4" s="14"/>
    </row>
    <row r="5">
      <c r="A5" s="13"/>
      <c r="B5" s="17"/>
      <c r="C5" s="13"/>
      <c r="D5" s="13"/>
      <c r="E5" s="13"/>
      <c r="F5" s="14"/>
      <c r="G5" s="14"/>
      <c r="H5" s="14"/>
      <c r="I5" s="14"/>
      <c r="J5" s="14"/>
      <c r="K5" s="14"/>
      <c r="L5" s="14"/>
      <c r="M5" s="14"/>
      <c r="N5" s="14"/>
      <c r="O5" s="14"/>
      <c r="P5" s="14"/>
      <c r="Q5" s="14"/>
      <c r="R5" s="14"/>
      <c r="S5" s="14"/>
      <c r="T5" s="14"/>
      <c r="U5" s="14"/>
      <c r="V5" s="14"/>
      <c r="W5" s="14"/>
      <c r="X5" s="14"/>
      <c r="Y5" s="14"/>
      <c r="Z5" s="14"/>
      <c r="AA5" s="14"/>
      <c r="AB5" s="14"/>
    </row>
    <row r="6">
      <c r="A6" s="11" t="s">
        <v>50</v>
      </c>
      <c r="B6" s="12" t="s">
        <v>51</v>
      </c>
      <c r="C6" s="11" t="s">
        <v>52</v>
      </c>
      <c r="D6" s="13" t="str">
        <f>IFERROR(__xludf.DUMMYFUNCTION("GOOGLETRANSLATE(C6,""en"",""fr"")"),"Centre de santé Zanmi Lsante à Cerca La Source")</f>
        <v>Centre de santé Zanmi Lsante à Cerca La Source</v>
      </c>
      <c r="E6" s="13" t="str">
        <f>IFERROR(__xludf.DUMMYFUNCTION("GOOGLETRANSLATE(C6,""en"",""ht"")"),"Sant sante Zanmi Lsante nan Cerca La Source")</f>
        <v>Sant sante Zanmi Lsante nan Cerca La Source</v>
      </c>
      <c r="F6" s="14"/>
      <c r="G6" s="14"/>
      <c r="H6" s="14"/>
      <c r="I6" s="14"/>
      <c r="J6" s="14"/>
      <c r="K6" s="14"/>
      <c r="L6" s="14"/>
      <c r="M6" s="14"/>
      <c r="N6" s="14"/>
      <c r="O6" s="14"/>
      <c r="P6" s="14"/>
      <c r="Q6" s="14"/>
      <c r="R6" s="14"/>
      <c r="S6" s="14"/>
      <c r="T6" s="14"/>
      <c r="U6" s="14"/>
      <c r="V6" s="14"/>
      <c r="W6" s="14"/>
      <c r="X6" s="14"/>
      <c r="Y6" s="14"/>
      <c r="Z6" s="14"/>
      <c r="AA6" s="14"/>
      <c r="AB6" s="14"/>
    </row>
    <row r="7">
      <c r="A7" s="11" t="s">
        <v>50</v>
      </c>
      <c r="B7" s="12" t="s">
        <v>56</v>
      </c>
      <c r="C7" s="11" t="s">
        <v>57</v>
      </c>
      <c r="D7" s="13" t="str">
        <f>IFERROR(__xludf.DUMMYFUNCTION("GOOGLETRANSLATE(C7,""en"",""fr"")"),"Hôpital Sainte-Thérèse")</f>
        <v>Hôpital Sainte-Thérèse</v>
      </c>
      <c r="E7" s="13" t="str">
        <f>IFERROR(__xludf.DUMMYFUNCTION("GOOGLETRANSLATE(C7,""en"",""ht"")"),"Lopital Sainte Thérèse")</f>
        <v>Lopital Sainte Thérèse</v>
      </c>
      <c r="F7" s="14"/>
      <c r="G7" s="14"/>
      <c r="H7" s="14"/>
      <c r="I7" s="14"/>
      <c r="J7" s="14"/>
      <c r="K7" s="14"/>
      <c r="L7" s="14"/>
      <c r="M7" s="14"/>
      <c r="N7" s="14"/>
      <c r="O7" s="14"/>
      <c r="P7" s="14"/>
      <c r="Q7" s="14"/>
      <c r="R7" s="14"/>
      <c r="S7" s="14"/>
      <c r="T7" s="14"/>
      <c r="U7" s="14"/>
      <c r="V7" s="14"/>
      <c r="W7" s="14"/>
      <c r="X7" s="14"/>
      <c r="Y7" s="14"/>
      <c r="Z7" s="14"/>
      <c r="AA7" s="14"/>
      <c r="AB7" s="14"/>
    </row>
    <row r="8">
      <c r="A8" s="11" t="s">
        <v>50</v>
      </c>
      <c r="B8" s="12" t="s">
        <v>59</v>
      </c>
      <c r="C8" s="11" t="s">
        <v>60</v>
      </c>
      <c r="D8" s="13" t="str">
        <f>IFERROR(__xludf.DUMMYFUNCTION("GOOGLETRANSLATE(C8,""en"",""fr"")"),"Hôpital Alma Mater")</f>
        <v>Hôpital Alma Mater</v>
      </c>
      <c r="E8" s="13" t="str">
        <f>IFERROR(__xludf.DUMMYFUNCTION("GOOGLETRANSLATE(C8,""en"",""ht"")"),"Lopital Alma Mater")</f>
        <v>Lopital Alma Mater</v>
      </c>
      <c r="F8" s="14"/>
      <c r="G8" s="14"/>
      <c r="H8" s="14"/>
      <c r="I8" s="14"/>
      <c r="J8" s="14"/>
      <c r="K8" s="14"/>
      <c r="L8" s="14"/>
      <c r="M8" s="14"/>
      <c r="N8" s="14"/>
      <c r="O8" s="14"/>
      <c r="P8" s="14"/>
      <c r="Q8" s="14"/>
      <c r="R8" s="14"/>
      <c r="S8" s="14"/>
      <c r="T8" s="14"/>
      <c r="U8" s="14"/>
      <c r="V8" s="14"/>
      <c r="W8" s="14"/>
      <c r="X8" s="14"/>
      <c r="Y8" s="14"/>
      <c r="Z8" s="14"/>
      <c r="AA8" s="14"/>
      <c r="AB8" s="14"/>
    </row>
    <row r="9">
      <c r="A9" s="11" t="s">
        <v>50</v>
      </c>
      <c r="B9" s="12" t="s">
        <v>61</v>
      </c>
      <c r="C9" s="11" t="s">
        <v>62</v>
      </c>
      <c r="D9" s="13" t="str">
        <f>IFERROR(__xludf.DUMMYFUNCTION("GOOGLETRANSLATE(C9,""en"",""fr"")"),"Autre")</f>
        <v>Autre</v>
      </c>
      <c r="E9" s="13" t="str">
        <f>IFERROR(__xludf.DUMMYFUNCTION("GOOGLETRANSLATE(C9,""en"",""ht"")"),"Lòt")</f>
        <v>Lòt</v>
      </c>
      <c r="F9" s="14"/>
      <c r="G9" s="14"/>
      <c r="H9" s="14"/>
      <c r="I9" s="14"/>
      <c r="J9" s="14"/>
      <c r="K9" s="14"/>
      <c r="L9" s="14"/>
      <c r="M9" s="14"/>
      <c r="N9" s="14"/>
      <c r="O9" s="14"/>
      <c r="P9" s="14"/>
      <c r="Q9" s="14"/>
      <c r="R9" s="14"/>
      <c r="S9" s="14"/>
      <c r="T9" s="14"/>
      <c r="U9" s="14"/>
      <c r="V9" s="14"/>
      <c r="W9" s="14"/>
      <c r="X9" s="14"/>
      <c r="Y9" s="14"/>
      <c r="Z9" s="14"/>
      <c r="AA9" s="14"/>
      <c r="AB9" s="14"/>
    </row>
    <row r="10">
      <c r="A10" s="13"/>
      <c r="B10" s="17"/>
      <c r="C10" s="13"/>
      <c r="D10" s="13"/>
      <c r="E10" s="13"/>
      <c r="F10" s="14"/>
      <c r="G10" s="14"/>
      <c r="H10" s="14"/>
      <c r="I10" s="14"/>
      <c r="J10" s="14"/>
      <c r="K10" s="14"/>
      <c r="L10" s="14"/>
      <c r="M10" s="14"/>
      <c r="N10" s="14"/>
      <c r="O10" s="14"/>
      <c r="P10" s="14"/>
      <c r="Q10" s="14"/>
      <c r="R10" s="14"/>
      <c r="S10" s="14"/>
      <c r="T10" s="14"/>
      <c r="U10" s="14"/>
      <c r="V10" s="14"/>
      <c r="W10" s="14"/>
      <c r="X10" s="14"/>
      <c r="Y10" s="14"/>
      <c r="Z10" s="14"/>
      <c r="AA10" s="14"/>
      <c r="AB10" s="14"/>
    </row>
    <row r="11">
      <c r="A11" s="11" t="s">
        <v>67</v>
      </c>
      <c r="B11" s="12" t="s">
        <v>68</v>
      </c>
      <c r="C11" s="11" t="s">
        <v>69</v>
      </c>
      <c r="D11" s="13" t="str">
        <f>IFERROR(__xludf.DUMMYFUNCTION("GOOGLETRANSLATE(C11,""en"",""fr"")"),"Oui")</f>
        <v>Oui</v>
      </c>
      <c r="E11" s="13" t="str">
        <f>IFERROR(__xludf.DUMMYFUNCTION("GOOGLETRANSLATE(C11,""en"",""ht"")"),"Wi")</f>
        <v>Wi</v>
      </c>
      <c r="F11" s="14"/>
      <c r="G11" s="14"/>
      <c r="H11" s="14"/>
      <c r="I11" s="14"/>
      <c r="J11" s="14"/>
      <c r="K11" s="14"/>
      <c r="L11" s="14"/>
      <c r="M11" s="14"/>
      <c r="N11" s="14"/>
      <c r="O11" s="14"/>
      <c r="P11" s="14"/>
      <c r="Q11" s="14"/>
      <c r="R11" s="14"/>
      <c r="S11" s="14"/>
      <c r="T11" s="14"/>
      <c r="U11" s="14"/>
      <c r="V11" s="14"/>
      <c r="W11" s="14"/>
      <c r="X11" s="14"/>
      <c r="Y11" s="14"/>
      <c r="Z11" s="14"/>
      <c r="AA11" s="14"/>
      <c r="AB11" s="14"/>
    </row>
    <row r="12">
      <c r="A12" s="11" t="s">
        <v>67</v>
      </c>
      <c r="B12" s="12" t="s">
        <v>70</v>
      </c>
      <c r="C12" s="11" t="s">
        <v>71</v>
      </c>
      <c r="D12" s="13" t="str">
        <f>IFERROR(__xludf.DUMMYFUNCTION("GOOGLETRANSLATE(C12,""en"",""fr"")"),"Non")</f>
        <v>Non</v>
      </c>
      <c r="E12" s="13" t="str">
        <f>IFERROR(__xludf.DUMMYFUNCTION("GOOGLETRANSLATE(C12,""en"",""ht"")"),"Non")</f>
        <v>Non</v>
      </c>
      <c r="F12" s="14"/>
      <c r="G12" s="14"/>
      <c r="H12" s="14"/>
      <c r="I12" s="14"/>
      <c r="J12" s="14"/>
      <c r="K12" s="14"/>
      <c r="L12" s="14"/>
      <c r="M12" s="14"/>
      <c r="N12" s="14"/>
      <c r="O12" s="14"/>
      <c r="P12" s="14"/>
      <c r="Q12" s="14"/>
      <c r="R12" s="14"/>
      <c r="S12" s="14"/>
      <c r="T12" s="14"/>
      <c r="U12" s="14"/>
      <c r="V12" s="14"/>
      <c r="W12" s="14"/>
      <c r="X12" s="14"/>
      <c r="Y12" s="14"/>
      <c r="Z12" s="14"/>
      <c r="AA12" s="14"/>
      <c r="AB12" s="14"/>
    </row>
    <row r="13">
      <c r="A13" s="13"/>
      <c r="B13" s="17"/>
      <c r="C13" s="13"/>
      <c r="D13" s="13"/>
      <c r="E13" s="13"/>
      <c r="F13" s="14"/>
      <c r="G13" s="14"/>
      <c r="H13" s="14"/>
      <c r="I13" s="14"/>
      <c r="J13" s="14"/>
      <c r="K13" s="14"/>
      <c r="L13" s="14"/>
      <c r="M13" s="14"/>
      <c r="N13" s="14"/>
      <c r="O13" s="14"/>
      <c r="P13" s="14"/>
      <c r="Q13" s="14"/>
      <c r="R13" s="14"/>
      <c r="S13" s="14"/>
      <c r="T13" s="14"/>
      <c r="U13" s="14"/>
      <c r="V13" s="14"/>
      <c r="W13" s="14"/>
      <c r="X13" s="14"/>
      <c r="Y13" s="14"/>
      <c r="Z13" s="14"/>
      <c r="AA13" s="14"/>
      <c r="AB13" s="14"/>
    </row>
    <row r="14">
      <c r="A14" s="13"/>
      <c r="B14" s="17"/>
      <c r="C14" s="13"/>
      <c r="D14" s="13"/>
      <c r="E14" s="13"/>
      <c r="F14" s="14"/>
      <c r="G14" s="14"/>
      <c r="H14" s="14"/>
      <c r="I14" s="14"/>
      <c r="J14" s="14"/>
      <c r="K14" s="14"/>
      <c r="L14" s="14"/>
      <c r="M14" s="14"/>
      <c r="N14" s="14"/>
      <c r="O14" s="14"/>
      <c r="P14" s="14"/>
      <c r="Q14" s="14"/>
      <c r="R14" s="14"/>
      <c r="S14" s="14"/>
      <c r="T14" s="14"/>
      <c r="U14" s="14"/>
      <c r="V14" s="14"/>
      <c r="W14" s="14"/>
      <c r="X14" s="14"/>
      <c r="Y14" s="14"/>
      <c r="Z14" s="14"/>
      <c r="AA14" s="14"/>
      <c r="AB14" s="14"/>
    </row>
    <row r="15">
      <c r="A15" s="13"/>
      <c r="B15" s="17"/>
      <c r="C15" s="13"/>
      <c r="D15" s="13"/>
      <c r="E15" s="13"/>
      <c r="F15" s="14"/>
      <c r="G15" s="14"/>
      <c r="H15" s="14"/>
      <c r="I15" s="14"/>
      <c r="J15" s="14"/>
      <c r="K15" s="14"/>
      <c r="L15" s="14"/>
      <c r="M15" s="14"/>
      <c r="N15" s="14"/>
      <c r="O15" s="14"/>
      <c r="P15" s="14"/>
      <c r="Q15" s="14"/>
      <c r="R15" s="14"/>
      <c r="S15" s="14"/>
      <c r="T15" s="14"/>
      <c r="U15" s="14"/>
      <c r="V15" s="14"/>
      <c r="W15" s="14"/>
      <c r="X15" s="14"/>
      <c r="Y15" s="14"/>
      <c r="Z15" s="14"/>
      <c r="AA15" s="14"/>
      <c r="AB15" s="14"/>
    </row>
    <row r="16">
      <c r="A16" s="13"/>
      <c r="B16" s="17"/>
      <c r="C16" s="13"/>
      <c r="D16" s="13"/>
      <c r="E16" s="13"/>
      <c r="F16" s="14"/>
      <c r="G16" s="14"/>
      <c r="H16" s="14"/>
      <c r="I16" s="14"/>
      <c r="J16" s="14"/>
      <c r="K16" s="14"/>
      <c r="L16" s="14"/>
      <c r="M16" s="14"/>
      <c r="N16" s="14"/>
      <c r="O16" s="14"/>
      <c r="P16" s="14"/>
      <c r="Q16" s="14"/>
      <c r="R16" s="14"/>
      <c r="S16" s="14"/>
      <c r="T16" s="14"/>
      <c r="U16" s="14"/>
      <c r="V16" s="14"/>
      <c r="W16" s="14"/>
      <c r="X16" s="14"/>
      <c r="Y16" s="14"/>
      <c r="Z16" s="14"/>
      <c r="AA16" s="14"/>
      <c r="AB16" s="14"/>
    </row>
    <row r="17">
      <c r="A17" s="13"/>
      <c r="B17" s="17"/>
      <c r="C17" s="13"/>
      <c r="D17" s="13"/>
      <c r="E17" s="13"/>
      <c r="F17" s="14"/>
      <c r="G17" s="14"/>
      <c r="H17" s="14"/>
      <c r="I17" s="14"/>
      <c r="J17" s="14"/>
      <c r="K17" s="14"/>
      <c r="L17" s="14"/>
      <c r="M17" s="14"/>
      <c r="N17" s="14"/>
      <c r="O17" s="14"/>
      <c r="P17" s="14"/>
      <c r="Q17" s="14"/>
      <c r="R17" s="14"/>
      <c r="S17" s="14"/>
      <c r="T17" s="14"/>
      <c r="U17" s="14"/>
      <c r="V17" s="14"/>
      <c r="W17" s="14"/>
      <c r="X17" s="14"/>
      <c r="Y17" s="14"/>
      <c r="Z17" s="14"/>
      <c r="AA17" s="14"/>
      <c r="AB17" s="14"/>
    </row>
    <row r="18">
      <c r="A18" s="13"/>
      <c r="B18" s="17"/>
      <c r="C18" s="13"/>
      <c r="D18" s="13"/>
      <c r="E18" s="13"/>
      <c r="F18" s="14"/>
      <c r="G18" s="14"/>
      <c r="H18" s="14"/>
      <c r="I18" s="14"/>
      <c r="J18" s="14"/>
      <c r="K18" s="14"/>
      <c r="L18" s="14"/>
      <c r="M18" s="14"/>
      <c r="N18" s="14"/>
      <c r="O18" s="14"/>
      <c r="P18" s="14"/>
      <c r="Q18" s="14"/>
      <c r="R18" s="14"/>
      <c r="S18" s="14"/>
      <c r="T18" s="14"/>
      <c r="U18" s="14"/>
      <c r="V18" s="14"/>
      <c r="W18" s="14"/>
      <c r="X18" s="14"/>
      <c r="Y18" s="14"/>
      <c r="Z18" s="14"/>
      <c r="AA18" s="14"/>
      <c r="AB18" s="14"/>
    </row>
    <row r="19">
      <c r="A19" s="13"/>
      <c r="B19" s="17"/>
      <c r="C19" s="13"/>
      <c r="D19" s="13"/>
      <c r="E19" s="13"/>
      <c r="F19" s="14"/>
      <c r="G19" s="14"/>
      <c r="H19" s="14"/>
      <c r="I19" s="14"/>
      <c r="J19" s="14"/>
      <c r="K19" s="14"/>
      <c r="L19" s="14"/>
      <c r="M19" s="14"/>
      <c r="N19" s="14"/>
      <c r="O19" s="14"/>
      <c r="P19" s="14"/>
      <c r="Q19" s="14"/>
      <c r="R19" s="14"/>
      <c r="S19" s="14"/>
      <c r="T19" s="14"/>
      <c r="U19" s="14"/>
      <c r="V19" s="14"/>
      <c r="W19" s="14"/>
      <c r="X19" s="14"/>
      <c r="Y19" s="14"/>
      <c r="Z19" s="14"/>
      <c r="AA19" s="14"/>
      <c r="AB19" s="14"/>
    </row>
    <row r="20">
      <c r="A20" s="13"/>
      <c r="B20" s="17"/>
      <c r="C20" s="13"/>
      <c r="D20" s="13"/>
      <c r="E20" s="13"/>
      <c r="F20" s="14"/>
      <c r="G20" s="14"/>
      <c r="H20" s="14"/>
      <c r="I20" s="14"/>
      <c r="J20" s="14"/>
      <c r="K20" s="14"/>
      <c r="L20" s="14"/>
      <c r="M20" s="14"/>
      <c r="N20" s="14"/>
      <c r="O20" s="14"/>
      <c r="P20" s="14"/>
      <c r="Q20" s="14"/>
      <c r="R20" s="14"/>
      <c r="S20" s="14"/>
      <c r="T20" s="14"/>
      <c r="U20" s="14"/>
      <c r="V20" s="14"/>
      <c r="W20" s="14"/>
      <c r="X20" s="14"/>
      <c r="Y20" s="14"/>
      <c r="Z20" s="14"/>
      <c r="AA20" s="14"/>
      <c r="AB20" s="14"/>
    </row>
    <row r="21">
      <c r="A21" s="13"/>
      <c r="B21" s="17"/>
      <c r="C21" s="13"/>
      <c r="D21" s="13"/>
      <c r="E21" s="13"/>
      <c r="F21" s="14"/>
      <c r="G21" s="14"/>
      <c r="H21" s="14"/>
      <c r="I21" s="14"/>
      <c r="J21" s="14"/>
      <c r="K21" s="14"/>
      <c r="L21" s="14"/>
      <c r="M21" s="14"/>
      <c r="N21" s="14"/>
      <c r="O21" s="14"/>
      <c r="P21" s="14"/>
      <c r="Q21" s="14"/>
      <c r="R21" s="14"/>
      <c r="S21" s="14"/>
      <c r="T21" s="14"/>
      <c r="U21" s="14"/>
      <c r="V21" s="14"/>
      <c r="W21" s="14"/>
      <c r="X21" s="14"/>
      <c r="Y21" s="14"/>
      <c r="Z21" s="14"/>
      <c r="AA21" s="14"/>
      <c r="AB21" s="14"/>
    </row>
    <row r="22">
      <c r="A22" s="13"/>
      <c r="B22" s="17"/>
      <c r="C22" s="13"/>
      <c r="D22" s="13"/>
      <c r="E22" s="13"/>
      <c r="F22" s="14"/>
      <c r="G22" s="14"/>
      <c r="H22" s="14"/>
      <c r="I22" s="14"/>
      <c r="J22" s="14"/>
      <c r="K22" s="14"/>
      <c r="L22" s="14"/>
      <c r="M22" s="14"/>
      <c r="N22" s="14"/>
      <c r="O22" s="14"/>
      <c r="P22" s="14"/>
      <c r="Q22" s="14"/>
      <c r="R22" s="14"/>
      <c r="S22" s="14"/>
      <c r="T22" s="14"/>
      <c r="U22" s="14"/>
      <c r="V22" s="14"/>
      <c r="W22" s="14"/>
      <c r="X22" s="14"/>
      <c r="Y22" s="14"/>
      <c r="Z22" s="14"/>
      <c r="AA22" s="14"/>
      <c r="AB22" s="14"/>
    </row>
    <row r="23">
      <c r="A23" s="13"/>
      <c r="B23" s="17"/>
      <c r="C23" s="13"/>
      <c r="D23" s="13"/>
      <c r="E23" s="13"/>
      <c r="F23" s="14"/>
      <c r="G23" s="14"/>
      <c r="H23" s="14"/>
      <c r="I23" s="14"/>
      <c r="J23" s="14"/>
      <c r="K23" s="14"/>
      <c r="L23" s="14"/>
      <c r="M23" s="14"/>
      <c r="N23" s="14"/>
      <c r="O23" s="14"/>
      <c r="P23" s="14"/>
      <c r="Q23" s="14"/>
      <c r="R23" s="14"/>
      <c r="S23" s="14"/>
      <c r="T23" s="14"/>
      <c r="U23" s="14"/>
      <c r="V23" s="14"/>
      <c r="W23" s="14"/>
      <c r="X23" s="14"/>
      <c r="Y23" s="14"/>
      <c r="Z23" s="14"/>
      <c r="AA23" s="14"/>
      <c r="AB23" s="14"/>
    </row>
    <row r="24">
      <c r="A24" s="13"/>
      <c r="B24" s="17"/>
      <c r="C24" s="13"/>
      <c r="D24" s="13"/>
      <c r="E24" s="13"/>
      <c r="F24" s="14"/>
      <c r="G24" s="14"/>
      <c r="H24" s="14"/>
      <c r="I24" s="14"/>
      <c r="J24" s="14"/>
      <c r="K24" s="14"/>
      <c r="L24" s="14"/>
      <c r="M24" s="14"/>
      <c r="N24" s="14"/>
      <c r="O24" s="14"/>
      <c r="P24" s="14"/>
      <c r="Q24" s="14"/>
      <c r="R24" s="14"/>
      <c r="S24" s="14"/>
      <c r="T24" s="14"/>
      <c r="U24" s="14"/>
      <c r="V24" s="14"/>
      <c r="W24" s="14"/>
      <c r="X24" s="14"/>
      <c r="Y24" s="14"/>
      <c r="Z24" s="14"/>
      <c r="AA24" s="14"/>
      <c r="AB24" s="14"/>
    </row>
    <row r="25">
      <c r="A25" s="13"/>
      <c r="B25" s="17"/>
      <c r="C25" s="13"/>
      <c r="D25" s="13"/>
      <c r="E25" s="13"/>
      <c r="F25" s="14"/>
      <c r="G25" s="14"/>
      <c r="H25" s="14"/>
      <c r="I25" s="14"/>
      <c r="J25" s="14"/>
      <c r="K25" s="14"/>
      <c r="L25" s="14"/>
      <c r="M25" s="14"/>
      <c r="N25" s="14"/>
      <c r="O25" s="14"/>
      <c r="P25" s="14"/>
      <c r="Q25" s="14"/>
      <c r="R25" s="14"/>
      <c r="S25" s="14"/>
      <c r="T25" s="14"/>
      <c r="U25" s="14"/>
      <c r="V25" s="14"/>
      <c r="W25" s="14"/>
      <c r="X25" s="14"/>
      <c r="Y25" s="14"/>
      <c r="Z25" s="14"/>
      <c r="AA25" s="14"/>
      <c r="AB25" s="14"/>
    </row>
    <row r="26">
      <c r="A26" s="13"/>
      <c r="B26" s="17"/>
      <c r="C26" s="13"/>
      <c r="D26" s="13"/>
      <c r="E26" s="13"/>
      <c r="F26" s="14"/>
      <c r="G26" s="14"/>
      <c r="H26" s="14"/>
      <c r="I26" s="14"/>
      <c r="J26" s="14"/>
      <c r="K26" s="14"/>
      <c r="L26" s="14"/>
      <c r="M26" s="14"/>
      <c r="N26" s="14"/>
      <c r="O26" s="14"/>
      <c r="P26" s="14"/>
      <c r="Q26" s="14"/>
      <c r="R26" s="14"/>
      <c r="S26" s="14"/>
      <c r="T26" s="14"/>
      <c r="U26" s="14"/>
      <c r="V26" s="14"/>
      <c r="W26" s="14"/>
      <c r="X26" s="14"/>
      <c r="Y26" s="14"/>
      <c r="Z26" s="14"/>
      <c r="AA26" s="14"/>
      <c r="AB26" s="14"/>
    </row>
    <row r="27">
      <c r="A27" s="13"/>
      <c r="B27" s="17"/>
      <c r="C27" s="13"/>
      <c r="D27" s="13"/>
      <c r="E27" s="13"/>
      <c r="F27" s="14"/>
      <c r="G27" s="14"/>
      <c r="H27" s="14"/>
      <c r="I27" s="14"/>
      <c r="J27" s="14"/>
      <c r="K27" s="14"/>
      <c r="L27" s="14"/>
      <c r="M27" s="14"/>
      <c r="N27" s="14"/>
      <c r="O27" s="14"/>
      <c r="P27" s="14"/>
      <c r="Q27" s="14"/>
      <c r="R27" s="14"/>
      <c r="S27" s="14"/>
      <c r="T27" s="14"/>
      <c r="U27" s="14"/>
      <c r="V27" s="14"/>
      <c r="W27" s="14"/>
      <c r="X27" s="14"/>
      <c r="Y27" s="14"/>
      <c r="Z27" s="14"/>
      <c r="AA27" s="14"/>
      <c r="AB27" s="14"/>
    </row>
    <row r="28">
      <c r="A28" s="13"/>
      <c r="B28" s="17"/>
      <c r="C28" s="13"/>
      <c r="D28" s="13"/>
      <c r="E28" s="13"/>
      <c r="F28" s="14"/>
      <c r="G28" s="14"/>
      <c r="H28" s="14"/>
      <c r="I28" s="14"/>
      <c r="J28" s="14"/>
      <c r="K28" s="14"/>
      <c r="L28" s="14"/>
      <c r="M28" s="14"/>
      <c r="N28" s="14"/>
      <c r="O28" s="14"/>
      <c r="P28" s="14"/>
      <c r="Q28" s="14"/>
      <c r="R28" s="14"/>
      <c r="S28" s="14"/>
      <c r="T28" s="14"/>
      <c r="U28" s="14"/>
      <c r="V28" s="14"/>
      <c r="W28" s="14"/>
      <c r="X28" s="14"/>
      <c r="Y28" s="14"/>
      <c r="Z28" s="14"/>
      <c r="AA28" s="14"/>
      <c r="AB28" s="14"/>
    </row>
    <row r="29">
      <c r="A29" s="13"/>
      <c r="B29" s="17"/>
      <c r="C29" s="13"/>
      <c r="D29" s="13"/>
      <c r="E29" s="13"/>
      <c r="F29" s="14"/>
      <c r="G29" s="14"/>
      <c r="H29" s="14"/>
      <c r="I29" s="14"/>
      <c r="J29" s="14"/>
      <c r="K29" s="14"/>
      <c r="L29" s="14"/>
      <c r="M29" s="14"/>
      <c r="N29" s="14"/>
      <c r="O29" s="14"/>
      <c r="P29" s="14"/>
      <c r="Q29" s="14"/>
      <c r="R29" s="14"/>
      <c r="S29" s="14"/>
      <c r="T29" s="14"/>
      <c r="U29" s="14"/>
      <c r="V29" s="14"/>
      <c r="W29" s="14"/>
      <c r="X29" s="14"/>
      <c r="Y29" s="14"/>
      <c r="Z29" s="14"/>
      <c r="AA29" s="14"/>
      <c r="AB29" s="14"/>
    </row>
    <row r="30">
      <c r="A30" s="13"/>
      <c r="B30" s="17"/>
      <c r="C30" s="13"/>
      <c r="D30" s="13"/>
      <c r="E30" s="13"/>
      <c r="F30" s="14"/>
      <c r="G30" s="14"/>
      <c r="H30" s="14"/>
      <c r="I30" s="14"/>
      <c r="J30" s="14"/>
      <c r="K30" s="14"/>
      <c r="L30" s="14"/>
      <c r="M30" s="14"/>
      <c r="N30" s="14"/>
      <c r="O30" s="14"/>
      <c r="P30" s="14"/>
      <c r="Q30" s="14"/>
      <c r="R30" s="14"/>
      <c r="S30" s="14"/>
      <c r="T30" s="14"/>
      <c r="U30" s="14"/>
      <c r="V30" s="14"/>
      <c r="W30" s="14"/>
      <c r="X30" s="14"/>
      <c r="Y30" s="14"/>
      <c r="Z30" s="14"/>
      <c r="AA30" s="14"/>
      <c r="AB30" s="14"/>
    </row>
    <row r="31">
      <c r="A31" s="13"/>
      <c r="B31" s="17"/>
      <c r="C31" s="13"/>
      <c r="D31" s="13"/>
      <c r="E31" s="13"/>
      <c r="F31" s="14"/>
      <c r="G31" s="14"/>
      <c r="H31" s="14"/>
      <c r="I31" s="14"/>
      <c r="J31" s="14"/>
      <c r="K31" s="14"/>
      <c r="L31" s="14"/>
      <c r="M31" s="14"/>
      <c r="N31" s="14"/>
      <c r="O31" s="14"/>
      <c r="P31" s="14"/>
      <c r="Q31" s="14"/>
      <c r="R31" s="14"/>
      <c r="S31" s="14"/>
      <c r="T31" s="14"/>
      <c r="U31" s="14"/>
      <c r="V31" s="14"/>
      <c r="W31" s="14"/>
      <c r="X31" s="14"/>
      <c r="Y31" s="14"/>
      <c r="Z31" s="14"/>
      <c r="AA31" s="14"/>
      <c r="AB31" s="14"/>
    </row>
    <row r="32">
      <c r="A32" s="13"/>
      <c r="B32" s="17"/>
      <c r="C32" s="13"/>
      <c r="D32" s="13"/>
      <c r="E32" s="13"/>
      <c r="F32" s="14"/>
      <c r="G32" s="14"/>
      <c r="H32" s="14"/>
      <c r="I32" s="14"/>
      <c r="J32" s="14"/>
      <c r="K32" s="14"/>
      <c r="L32" s="14"/>
      <c r="M32" s="14"/>
      <c r="N32" s="14"/>
      <c r="O32" s="14"/>
      <c r="P32" s="14"/>
      <c r="Q32" s="14"/>
      <c r="R32" s="14"/>
      <c r="S32" s="14"/>
      <c r="T32" s="14"/>
      <c r="U32" s="14"/>
      <c r="V32" s="14"/>
      <c r="W32" s="14"/>
      <c r="X32" s="14"/>
      <c r="Y32" s="14"/>
      <c r="Z32" s="14"/>
      <c r="AA32" s="14"/>
      <c r="AB32" s="14"/>
    </row>
    <row r="33">
      <c r="A33" s="13"/>
      <c r="B33" s="17"/>
      <c r="C33" s="13"/>
      <c r="D33" s="13"/>
      <c r="E33" s="13"/>
      <c r="F33" s="14"/>
      <c r="G33" s="14"/>
      <c r="H33" s="14"/>
      <c r="I33" s="14"/>
      <c r="J33" s="14"/>
      <c r="K33" s="14"/>
      <c r="L33" s="14"/>
      <c r="M33" s="14"/>
      <c r="N33" s="14"/>
      <c r="O33" s="14"/>
      <c r="P33" s="14"/>
      <c r="Q33" s="14"/>
      <c r="R33" s="14"/>
      <c r="S33" s="14"/>
      <c r="T33" s="14"/>
      <c r="U33" s="14"/>
      <c r="V33" s="14"/>
      <c r="W33" s="14"/>
      <c r="X33" s="14"/>
      <c r="Y33" s="14"/>
      <c r="Z33" s="14"/>
      <c r="AA33" s="14"/>
      <c r="AB33" s="14"/>
    </row>
    <row r="34">
      <c r="A34" s="13"/>
      <c r="B34" s="17"/>
      <c r="C34" s="13"/>
      <c r="D34" s="13"/>
      <c r="E34" s="13"/>
      <c r="F34" s="14"/>
      <c r="G34" s="14"/>
      <c r="H34" s="14"/>
      <c r="I34" s="14"/>
      <c r="J34" s="14"/>
      <c r="K34" s="14"/>
      <c r="L34" s="14"/>
      <c r="M34" s="14"/>
      <c r="N34" s="14"/>
      <c r="O34" s="14"/>
      <c r="P34" s="14"/>
      <c r="Q34" s="14"/>
      <c r="R34" s="14"/>
      <c r="S34" s="14"/>
      <c r="T34" s="14"/>
      <c r="U34" s="14"/>
      <c r="V34" s="14"/>
      <c r="W34" s="14"/>
      <c r="X34" s="14"/>
      <c r="Y34" s="14"/>
      <c r="Z34" s="14"/>
      <c r="AA34" s="14"/>
      <c r="AB34" s="14"/>
    </row>
    <row r="35">
      <c r="A35" s="13"/>
      <c r="B35" s="17"/>
      <c r="C35" s="13"/>
      <c r="D35" s="13"/>
      <c r="E35" s="13"/>
      <c r="F35" s="14"/>
      <c r="G35" s="14"/>
      <c r="H35" s="14"/>
      <c r="I35" s="14"/>
      <c r="J35" s="14"/>
      <c r="K35" s="14"/>
      <c r="L35" s="14"/>
      <c r="M35" s="14"/>
      <c r="N35" s="14"/>
      <c r="O35" s="14"/>
      <c r="P35" s="14"/>
      <c r="Q35" s="14"/>
      <c r="R35" s="14"/>
      <c r="S35" s="14"/>
      <c r="T35" s="14"/>
      <c r="U35" s="14"/>
      <c r="V35" s="14"/>
      <c r="W35" s="14"/>
      <c r="X35" s="14"/>
      <c r="Y35" s="14"/>
      <c r="Z35" s="14"/>
      <c r="AA35" s="14"/>
      <c r="AB35" s="14"/>
    </row>
    <row r="36">
      <c r="A36" s="13"/>
      <c r="B36" s="17"/>
      <c r="C36" s="13"/>
      <c r="D36" s="13"/>
      <c r="E36" s="13"/>
      <c r="F36" s="14"/>
      <c r="G36" s="14"/>
      <c r="H36" s="14"/>
      <c r="I36" s="14"/>
      <c r="J36" s="14"/>
      <c r="K36" s="14"/>
      <c r="L36" s="14"/>
      <c r="M36" s="14"/>
      <c r="N36" s="14"/>
      <c r="O36" s="14"/>
      <c r="P36" s="14"/>
      <c r="Q36" s="14"/>
      <c r="R36" s="14"/>
      <c r="S36" s="14"/>
      <c r="T36" s="14"/>
      <c r="U36" s="14"/>
      <c r="V36" s="14"/>
      <c r="W36" s="14"/>
      <c r="X36" s="14"/>
      <c r="Y36" s="14"/>
      <c r="Z36" s="14"/>
      <c r="AA36" s="14"/>
      <c r="AB36" s="14"/>
    </row>
    <row r="37">
      <c r="A37" s="13"/>
      <c r="B37" s="17"/>
      <c r="C37" s="13"/>
      <c r="D37" s="13"/>
      <c r="E37" s="13"/>
      <c r="F37" s="14"/>
      <c r="G37" s="14"/>
      <c r="H37" s="14"/>
      <c r="I37" s="14"/>
      <c r="J37" s="14"/>
      <c r="K37" s="14"/>
      <c r="L37" s="14"/>
      <c r="M37" s="14"/>
      <c r="N37" s="14"/>
      <c r="O37" s="14"/>
      <c r="P37" s="14"/>
      <c r="Q37" s="14"/>
      <c r="R37" s="14"/>
      <c r="S37" s="14"/>
      <c r="T37" s="14"/>
      <c r="U37" s="14"/>
      <c r="V37" s="14"/>
      <c r="W37" s="14"/>
      <c r="X37" s="14"/>
      <c r="Y37" s="14"/>
      <c r="Z37" s="14"/>
      <c r="AA37" s="14"/>
      <c r="AB37" s="14"/>
    </row>
    <row r="38">
      <c r="A38" s="13"/>
      <c r="B38" s="17"/>
      <c r="C38" s="13"/>
      <c r="D38" s="13"/>
      <c r="E38" s="13"/>
      <c r="F38" s="14"/>
      <c r="G38" s="14"/>
      <c r="H38" s="14"/>
      <c r="I38" s="14"/>
      <c r="J38" s="14"/>
      <c r="K38" s="14"/>
      <c r="L38" s="14"/>
      <c r="M38" s="14"/>
      <c r="N38" s="14"/>
      <c r="O38" s="14"/>
      <c r="P38" s="14"/>
      <c r="Q38" s="14"/>
      <c r="R38" s="14"/>
      <c r="S38" s="14"/>
      <c r="T38" s="14"/>
      <c r="U38" s="14"/>
      <c r="V38" s="14"/>
      <c r="W38" s="14"/>
      <c r="X38" s="14"/>
      <c r="Y38" s="14"/>
      <c r="Z38" s="14"/>
      <c r="AA38" s="14"/>
      <c r="AB38" s="14"/>
    </row>
    <row r="39">
      <c r="A39" s="13"/>
      <c r="B39" s="17"/>
      <c r="C39" s="13"/>
      <c r="D39" s="13"/>
      <c r="E39" s="13"/>
      <c r="F39" s="14"/>
      <c r="G39" s="14"/>
      <c r="H39" s="14"/>
      <c r="I39" s="14"/>
      <c r="J39" s="14"/>
      <c r="K39" s="14"/>
      <c r="L39" s="14"/>
      <c r="M39" s="14"/>
      <c r="N39" s="14"/>
      <c r="O39" s="14"/>
      <c r="P39" s="14"/>
      <c r="Q39" s="14"/>
      <c r="R39" s="14"/>
      <c r="S39" s="14"/>
      <c r="T39" s="14"/>
      <c r="U39" s="14"/>
      <c r="V39" s="14"/>
      <c r="W39" s="14"/>
      <c r="X39" s="14"/>
      <c r="Y39" s="14"/>
      <c r="Z39" s="14"/>
      <c r="AA39" s="14"/>
      <c r="AB39" s="14"/>
    </row>
    <row r="40">
      <c r="A40" s="13"/>
      <c r="B40" s="17"/>
      <c r="C40" s="13"/>
      <c r="D40" s="13"/>
      <c r="E40" s="13"/>
      <c r="F40" s="14"/>
      <c r="G40" s="14"/>
      <c r="H40" s="14"/>
      <c r="I40" s="14"/>
      <c r="J40" s="14"/>
      <c r="K40" s="14"/>
      <c r="L40" s="14"/>
      <c r="M40" s="14"/>
      <c r="N40" s="14"/>
      <c r="O40" s="14"/>
      <c r="P40" s="14"/>
      <c r="Q40" s="14"/>
      <c r="R40" s="14"/>
      <c r="S40" s="14"/>
      <c r="T40" s="14"/>
      <c r="U40" s="14"/>
      <c r="V40" s="14"/>
      <c r="W40" s="14"/>
      <c r="X40" s="14"/>
      <c r="Y40" s="14"/>
      <c r="Z40" s="14"/>
      <c r="AA40" s="14"/>
      <c r="AB40" s="14"/>
    </row>
    <row r="41">
      <c r="A41" s="13"/>
      <c r="B41" s="17"/>
      <c r="C41" s="13"/>
      <c r="D41" s="13"/>
      <c r="E41" s="13"/>
      <c r="F41" s="14"/>
      <c r="G41" s="14"/>
      <c r="H41" s="14"/>
      <c r="I41" s="14"/>
      <c r="J41" s="14"/>
      <c r="K41" s="14"/>
      <c r="L41" s="14"/>
      <c r="M41" s="14"/>
      <c r="N41" s="14"/>
      <c r="O41" s="14"/>
      <c r="P41" s="14"/>
      <c r="Q41" s="14"/>
      <c r="R41" s="14"/>
      <c r="S41" s="14"/>
      <c r="T41" s="14"/>
      <c r="U41" s="14"/>
      <c r="V41" s="14"/>
      <c r="W41" s="14"/>
      <c r="X41" s="14"/>
      <c r="Y41" s="14"/>
      <c r="Z41" s="14"/>
      <c r="AA41" s="14"/>
      <c r="AB41" s="14"/>
    </row>
    <row r="42">
      <c r="A42" s="13"/>
      <c r="B42" s="17"/>
      <c r="C42" s="13"/>
      <c r="D42" s="13"/>
      <c r="E42" s="13"/>
      <c r="F42" s="14"/>
      <c r="G42" s="14"/>
      <c r="H42" s="14"/>
      <c r="I42" s="14"/>
      <c r="J42" s="14"/>
      <c r="K42" s="14"/>
      <c r="L42" s="14"/>
      <c r="M42" s="14"/>
      <c r="N42" s="14"/>
      <c r="O42" s="14"/>
      <c r="P42" s="14"/>
      <c r="Q42" s="14"/>
      <c r="R42" s="14"/>
      <c r="S42" s="14"/>
      <c r="T42" s="14"/>
      <c r="U42" s="14"/>
      <c r="V42" s="14"/>
      <c r="W42" s="14"/>
      <c r="X42" s="14"/>
      <c r="Y42" s="14"/>
      <c r="Z42" s="14"/>
      <c r="AA42" s="14"/>
      <c r="AB42" s="14"/>
    </row>
    <row r="43">
      <c r="A43" s="13"/>
      <c r="B43" s="17"/>
      <c r="C43" s="13"/>
      <c r="D43" s="13"/>
      <c r="E43" s="13"/>
      <c r="F43" s="14"/>
      <c r="G43" s="14"/>
      <c r="H43" s="14"/>
      <c r="I43" s="14"/>
      <c r="J43" s="14"/>
      <c r="K43" s="14"/>
      <c r="L43" s="14"/>
      <c r="M43" s="14"/>
      <c r="N43" s="14"/>
      <c r="O43" s="14"/>
      <c r="P43" s="14"/>
      <c r="Q43" s="14"/>
      <c r="R43" s="14"/>
      <c r="S43" s="14"/>
      <c r="T43" s="14"/>
      <c r="U43" s="14"/>
      <c r="V43" s="14"/>
      <c r="W43" s="14"/>
      <c r="X43" s="14"/>
      <c r="Y43" s="14"/>
      <c r="Z43" s="14"/>
      <c r="AA43" s="14"/>
      <c r="AB43" s="14"/>
    </row>
    <row r="44">
      <c r="A44" s="13"/>
      <c r="B44" s="17"/>
      <c r="C44" s="13"/>
      <c r="D44" s="13"/>
      <c r="E44" s="13"/>
      <c r="F44" s="14"/>
      <c r="G44" s="14"/>
      <c r="H44" s="14"/>
      <c r="I44" s="14"/>
      <c r="J44" s="14"/>
      <c r="K44" s="14"/>
      <c r="L44" s="14"/>
      <c r="M44" s="14"/>
      <c r="N44" s="14"/>
      <c r="O44" s="14"/>
      <c r="P44" s="14"/>
      <c r="Q44" s="14"/>
      <c r="R44" s="14"/>
      <c r="S44" s="14"/>
      <c r="T44" s="14"/>
      <c r="U44" s="14"/>
      <c r="V44" s="14"/>
      <c r="W44" s="14"/>
      <c r="X44" s="14"/>
      <c r="Y44" s="14"/>
      <c r="Z44" s="14"/>
      <c r="AA44" s="14"/>
      <c r="AB44" s="14"/>
    </row>
    <row r="45">
      <c r="A45" s="13"/>
      <c r="B45" s="17"/>
      <c r="C45" s="13"/>
      <c r="D45" s="13"/>
      <c r="E45" s="13"/>
      <c r="F45" s="14"/>
      <c r="G45" s="14"/>
      <c r="H45" s="14"/>
      <c r="I45" s="14"/>
      <c r="J45" s="14"/>
      <c r="K45" s="14"/>
      <c r="L45" s="14"/>
      <c r="M45" s="14"/>
      <c r="N45" s="14"/>
      <c r="O45" s="14"/>
      <c r="P45" s="14"/>
      <c r="Q45" s="14"/>
      <c r="R45" s="14"/>
      <c r="S45" s="14"/>
      <c r="T45" s="14"/>
      <c r="U45" s="14"/>
      <c r="V45" s="14"/>
      <c r="W45" s="14"/>
      <c r="X45" s="14"/>
      <c r="Y45" s="14"/>
      <c r="Z45" s="14"/>
      <c r="AA45" s="14"/>
      <c r="AB45" s="14"/>
    </row>
    <row r="46">
      <c r="A46" s="13"/>
      <c r="B46" s="17"/>
      <c r="C46" s="13"/>
      <c r="D46" s="13"/>
      <c r="E46" s="13"/>
      <c r="F46" s="14"/>
      <c r="G46" s="14"/>
      <c r="H46" s="14"/>
      <c r="I46" s="14"/>
      <c r="J46" s="14"/>
      <c r="K46" s="14"/>
      <c r="L46" s="14"/>
      <c r="M46" s="14"/>
      <c r="N46" s="14"/>
      <c r="O46" s="14"/>
      <c r="P46" s="14"/>
      <c r="Q46" s="14"/>
      <c r="R46" s="14"/>
      <c r="S46" s="14"/>
      <c r="T46" s="14"/>
      <c r="U46" s="14"/>
      <c r="V46" s="14"/>
      <c r="W46" s="14"/>
      <c r="X46" s="14"/>
      <c r="Y46" s="14"/>
      <c r="Z46" s="14"/>
      <c r="AA46" s="14"/>
      <c r="AB46" s="14"/>
    </row>
    <row r="47">
      <c r="A47" s="13"/>
      <c r="B47" s="17"/>
      <c r="C47" s="13"/>
      <c r="D47" s="13"/>
      <c r="E47" s="13"/>
      <c r="F47" s="14"/>
      <c r="G47" s="14"/>
      <c r="H47" s="14"/>
      <c r="I47" s="14"/>
      <c r="J47" s="14"/>
      <c r="K47" s="14"/>
      <c r="L47" s="14"/>
      <c r="M47" s="14"/>
      <c r="N47" s="14"/>
      <c r="O47" s="14"/>
      <c r="P47" s="14"/>
      <c r="Q47" s="14"/>
      <c r="R47" s="14"/>
      <c r="S47" s="14"/>
      <c r="T47" s="14"/>
      <c r="U47" s="14"/>
      <c r="V47" s="14"/>
      <c r="W47" s="14"/>
      <c r="X47" s="14"/>
      <c r="Y47" s="14"/>
      <c r="Z47" s="14"/>
      <c r="AA47" s="14"/>
      <c r="AB47" s="14"/>
    </row>
    <row r="48">
      <c r="A48" s="13"/>
      <c r="B48" s="17"/>
      <c r="C48" s="13"/>
      <c r="D48" s="13"/>
      <c r="E48" s="13"/>
      <c r="F48" s="14"/>
      <c r="G48" s="14"/>
      <c r="H48" s="14"/>
      <c r="I48" s="14"/>
      <c r="J48" s="14"/>
      <c r="K48" s="14"/>
      <c r="L48" s="14"/>
      <c r="M48" s="14"/>
      <c r="N48" s="14"/>
      <c r="O48" s="14"/>
      <c r="P48" s="14"/>
      <c r="Q48" s="14"/>
      <c r="R48" s="14"/>
      <c r="S48" s="14"/>
      <c r="T48" s="14"/>
      <c r="U48" s="14"/>
      <c r="V48" s="14"/>
      <c r="W48" s="14"/>
      <c r="X48" s="14"/>
      <c r="Y48" s="14"/>
      <c r="Z48" s="14"/>
      <c r="AA48" s="14"/>
      <c r="AB48" s="14"/>
    </row>
    <row r="49">
      <c r="A49" s="13"/>
      <c r="B49" s="17"/>
      <c r="C49" s="13"/>
      <c r="D49" s="13"/>
      <c r="E49" s="13"/>
      <c r="F49" s="14"/>
      <c r="G49" s="14"/>
      <c r="H49" s="14"/>
      <c r="I49" s="14"/>
      <c r="J49" s="14"/>
      <c r="K49" s="14"/>
      <c r="L49" s="14"/>
      <c r="M49" s="14"/>
      <c r="N49" s="14"/>
      <c r="O49" s="14"/>
      <c r="P49" s="14"/>
      <c r="Q49" s="14"/>
      <c r="R49" s="14"/>
      <c r="S49" s="14"/>
      <c r="T49" s="14"/>
      <c r="U49" s="14"/>
      <c r="V49" s="14"/>
      <c r="W49" s="14"/>
      <c r="X49" s="14"/>
      <c r="Y49" s="14"/>
      <c r="Z49" s="14"/>
      <c r="AA49" s="14"/>
      <c r="AB49" s="14"/>
    </row>
    <row r="50">
      <c r="A50" s="13"/>
      <c r="B50" s="17"/>
      <c r="C50" s="13"/>
      <c r="D50" s="13"/>
      <c r="E50" s="13"/>
      <c r="F50" s="14"/>
      <c r="G50" s="14"/>
      <c r="H50" s="14"/>
      <c r="I50" s="14"/>
      <c r="J50" s="14"/>
      <c r="K50" s="14"/>
      <c r="L50" s="14"/>
      <c r="M50" s="14"/>
      <c r="N50" s="14"/>
      <c r="O50" s="14"/>
      <c r="P50" s="14"/>
      <c r="Q50" s="14"/>
      <c r="R50" s="14"/>
      <c r="S50" s="14"/>
      <c r="T50" s="14"/>
      <c r="U50" s="14"/>
      <c r="V50" s="14"/>
      <c r="W50" s="14"/>
      <c r="X50" s="14"/>
      <c r="Y50" s="14"/>
      <c r="Z50" s="14"/>
      <c r="AA50" s="14"/>
      <c r="AB50" s="14"/>
    </row>
    <row r="51">
      <c r="A51" s="13"/>
      <c r="B51" s="17"/>
      <c r="C51" s="13"/>
      <c r="D51" s="13"/>
      <c r="E51" s="13"/>
      <c r="F51" s="14"/>
      <c r="G51" s="14"/>
      <c r="H51" s="14"/>
      <c r="I51" s="14"/>
      <c r="J51" s="14"/>
      <c r="K51" s="14"/>
      <c r="L51" s="14"/>
      <c r="M51" s="14"/>
      <c r="N51" s="14"/>
      <c r="O51" s="14"/>
      <c r="P51" s="14"/>
      <c r="Q51" s="14"/>
      <c r="R51" s="14"/>
      <c r="S51" s="14"/>
      <c r="T51" s="14"/>
      <c r="U51" s="14"/>
      <c r="V51" s="14"/>
      <c r="W51" s="14"/>
      <c r="X51" s="14"/>
      <c r="Y51" s="14"/>
      <c r="Z51" s="14"/>
      <c r="AA51" s="14"/>
      <c r="AB51" s="14"/>
    </row>
    <row r="52">
      <c r="A52" s="13"/>
      <c r="B52" s="17"/>
      <c r="C52" s="13"/>
      <c r="D52" s="13"/>
      <c r="E52" s="13"/>
      <c r="F52" s="14"/>
      <c r="G52" s="14"/>
      <c r="H52" s="14"/>
      <c r="I52" s="14"/>
      <c r="J52" s="14"/>
      <c r="K52" s="14"/>
      <c r="L52" s="14"/>
      <c r="M52" s="14"/>
      <c r="N52" s="14"/>
      <c r="O52" s="14"/>
      <c r="P52" s="14"/>
      <c r="Q52" s="14"/>
      <c r="R52" s="14"/>
      <c r="S52" s="14"/>
      <c r="T52" s="14"/>
      <c r="U52" s="14"/>
      <c r="V52" s="14"/>
      <c r="W52" s="14"/>
      <c r="X52" s="14"/>
      <c r="Y52" s="14"/>
      <c r="Z52" s="14"/>
      <c r="AA52" s="14"/>
      <c r="AB52" s="14"/>
    </row>
    <row r="53">
      <c r="A53" s="13"/>
      <c r="B53" s="17"/>
      <c r="C53" s="13"/>
      <c r="D53" s="13"/>
      <c r="E53" s="13"/>
      <c r="F53" s="14"/>
      <c r="G53" s="14"/>
      <c r="H53" s="14"/>
      <c r="I53" s="14"/>
      <c r="J53" s="14"/>
      <c r="K53" s="14"/>
      <c r="L53" s="14"/>
      <c r="M53" s="14"/>
      <c r="N53" s="14"/>
      <c r="O53" s="14"/>
      <c r="P53" s="14"/>
      <c r="Q53" s="14"/>
      <c r="R53" s="14"/>
      <c r="S53" s="14"/>
      <c r="T53" s="14"/>
      <c r="U53" s="14"/>
      <c r="V53" s="14"/>
      <c r="W53" s="14"/>
      <c r="X53" s="14"/>
      <c r="Y53" s="14"/>
      <c r="Z53" s="14"/>
      <c r="AA53" s="14"/>
      <c r="AB53" s="14"/>
    </row>
    <row r="54">
      <c r="A54" s="13"/>
      <c r="B54" s="17"/>
      <c r="C54" s="13"/>
      <c r="D54" s="13"/>
      <c r="E54" s="13"/>
      <c r="F54" s="14"/>
      <c r="G54" s="14"/>
      <c r="H54" s="14"/>
      <c r="I54" s="14"/>
      <c r="J54" s="14"/>
      <c r="K54" s="14"/>
      <c r="L54" s="14"/>
      <c r="M54" s="14"/>
      <c r="N54" s="14"/>
      <c r="O54" s="14"/>
      <c r="P54" s="14"/>
      <c r="Q54" s="14"/>
      <c r="R54" s="14"/>
      <c r="S54" s="14"/>
      <c r="T54" s="14"/>
      <c r="U54" s="14"/>
      <c r="V54" s="14"/>
      <c r="W54" s="14"/>
      <c r="X54" s="14"/>
      <c r="Y54" s="14"/>
      <c r="Z54" s="14"/>
      <c r="AA54" s="14"/>
      <c r="AB54" s="14"/>
    </row>
    <row r="55">
      <c r="A55" s="13"/>
      <c r="B55" s="17"/>
      <c r="C55" s="13"/>
      <c r="D55" s="13"/>
      <c r="E55" s="13"/>
      <c r="F55" s="14"/>
      <c r="G55" s="14"/>
      <c r="H55" s="14"/>
      <c r="I55" s="14"/>
      <c r="J55" s="14"/>
      <c r="K55" s="14"/>
      <c r="L55" s="14"/>
      <c r="M55" s="14"/>
      <c r="N55" s="14"/>
      <c r="O55" s="14"/>
      <c r="P55" s="14"/>
      <c r="Q55" s="14"/>
      <c r="R55" s="14"/>
      <c r="S55" s="14"/>
      <c r="T55" s="14"/>
      <c r="U55" s="14"/>
      <c r="V55" s="14"/>
      <c r="W55" s="14"/>
      <c r="X55" s="14"/>
      <c r="Y55" s="14"/>
      <c r="Z55" s="14"/>
      <c r="AA55" s="14"/>
      <c r="AB55" s="14"/>
    </row>
    <row r="56">
      <c r="A56" s="13"/>
      <c r="B56" s="17"/>
      <c r="C56" s="13"/>
      <c r="D56" s="13"/>
      <c r="E56" s="13"/>
      <c r="F56" s="14"/>
      <c r="G56" s="14"/>
      <c r="H56" s="14"/>
      <c r="I56" s="14"/>
      <c r="J56" s="14"/>
      <c r="K56" s="14"/>
      <c r="L56" s="14"/>
      <c r="M56" s="14"/>
      <c r="N56" s="14"/>
      <c r="O56" s="14"/>
      <c r="P56" s="14"/>
      <c r="Q56" s="14"/>
      <c r="R56" s="14"/>
      <c r="S56" s="14"/>
      <c r="T56" s="14"/>
      <c r="U56" s="14"/>
      <c r="V56" s="14"/>
      <c r="W56" s="14"/>
      <c r="X56" s="14"/>
      <c r="Y56" s="14"/>
      <c r="Z56" s="14"/>
      <c r="AA56" s="14"/>
      <c r="AB56" s="14"/>
    </row>
    <row r="57">
      <c r="A57" s="13"/>
      <c r="B57" s="17"/>
      <c r="C57" s="13"/>
      <c r="D57" s="13"/>
      <c r="E57" s="13"/>
      <c r="F57" s="14"/>
      <c r="G57" s="14"/>
      <c r="H57" s="14"/>
      <c r="I57" s="14"/>
      <c r="J57" s="14"/>
      <c r="K57" s="14"/>
      <c r="L57" s="14"/>
      <c r="M57" s="14"/>
      <c r="N57" s="14"/>
      <c r="O57" s="14"/>
      <c r="P57" s="14"/>
      <c r="Q57" s="14"/>
      <c r="R57" s="14"/>
      <c r="S57" s="14"/>
      <c r="T57" s="14"/>
      <c r="U57" s="14"/>
      <c r="V57" s="14"/>
      <c r="W57" s="14"/>
      <c r="X57" s="14"/>
      <c r="Y57" s="14"/>
      <c r="Z57" s="14"/>
      <c r="AA57" s="14"/>
      <c r="AB57" s="14"/>
    </row>
    <row r="58">
      <c r="A58" s="13"/>
      <c r="B58" s="17"/>
      <c r="C58" s="13"/>
      <c r="D58" s="13"/>
      <c r="E58" s="13"/>
      <c r="F58" s="14"/>
      <c r="G58" s="14"/>
      <c r="H58" s="14"/>
      <c r="I58" s="14"/>
      <c r="J58" s="14"/>
      <c r="K58" s="14"/>
      <c r="L58" s="14"/>
      <c r="M58" s="14"/>
      <c r="N58" s="14"/>
      <c r="O58" s="14"/>
      <c r="P58" s="14"/>
      <c r="Q58" s="14"/>
      <c r="R58" s="14"/>
      <c r="S58" s="14"/>
      <c r="T58" s="14"/>
      <c r="U58" s="14"/>
      <c r="V58" s="14"/>
      <c r="W58" s="14"/>
      <c r="X58" s="14"/>
      <c r="Y58" s="14"/>
      <c r="Z58" s="14"/>
      <c r="AA58" s="14"/>
      <c r="AB58" s="14"/>
    </row>
    <row r="59">
      <c r="A59" s="13"/>
      <c r="B59" s="17"/>
      <c r="C59" s="13"/>
      <c r="D59" s="13"/>
      <c r="E59" s="13"/>
      <c r="F59" s="14"/>
      <c r="G59" s="14"/>
      <c r="H59" s="14"/>
      <c r="I59" s="14"/>
      <c r="J59" s="14"/>
      <c r="K59" s="14"/>
      <c r="L59" s="14"/>
      <c r="M59" s="14"/>
      <c r="N59" s="14"/>
      <c r="O59" s="14"/>
      <c r="P59" s="14"/>
      <c r="Q59" s="14"/>
      <c r="R59" s="14"/>
      <c r="S59" s="14"/>
      <c r="T59" s="14"/>
      <c r="U59" s="14"/>
      <c r="V59" s="14"/>
      <c r="W59" s="14"/>
      <c r="X59" s="14"/>
      <c r="Y59" s="14"/>
      <c r="Z59" s="14"/>
      <c r="AA59" s="14"/>
      <c r="AB59" s="14"/>
    </row>
    <row r="60">
      <c r="A60" s="13"/>
      <c r="B60" s="17"/>
      <c r="C60" s="13"/>
      <c r="D60" s="13"/>
      <c r="E60" s="13"/>
      <c r="F60" s="14"/>
      <c r="G60" s="14"/>
      <c r="H60" s="14"/>
      <c r="I60" s="14"/>
      <c r="J60" s="14"/>
      <c r="K60" s="14"/>
      <c r="L60" s="14"/>
      <c r="M60" s="14"/>
      <c r="N60" s="14"/>
      <c r="O60" s="14"/>
      <c r="P60" s="14"/>
      <c r="Q60" s="14"/>
      <c r="R60" s="14"/>
      <c r="S60" s="14"/>
      <c r="T60" s="14"/>
      <c r="U60" s="14"/>
      <c r="V60" s="14"/>
      <c r="W60" s="14"/>
      <c r="X60" s="14"/>
      <c r="Y60" s="14"/>
      <c r="Z60" s="14"/>
      <c r="AA60" s="14"/>
      <c r="AB60" s="14"/>
    </row>
    <row r="61">
      <c r="A61" s="13"/>
      <c r="B61" s="17"/>
      <c r="C61" s="13"/>
      <c r="D61" s="13"/>
      <c r="E61" s="13"/>
      <c r="F61" s="14"/>
      <c r="G61" s="14"/>
      <c r="H61" s="14"/>
      <c r="I61" s="14"/>
      <c r="J61" s="14"/>
      <c r="K61" s="14"/>
      <c r="L61" s="14"/>
      <c r="M61" s="14"/>
      <c r="N61" s="14"/>
      <c r="O61" s="14"/>
      <c r="P61" s="14"/>
      <c r="Q61" s="14"/>
      <c r="R61" s="14"/>
      <c r="S61" s="14"/>
      <c r="T61" s="14"/>
      <c r="U61" s="14"/>
      <c r="V61" s="14"/>
      <c r="W61" s="14"/>
      <c r="X61" s="14"/>
      <c r="Y61" s="14"/>
      <c r="Z61" s="14"/>
      <c r="AA61" s="14"/>
      <c r="AB61" s="14"/>
    </row>
    <row r="62">
      <c r="A62" s="13"/>
      <c r="B62" s="17"/>
      <c r="C62" s="13"/>
      <c r="D62" s="13"/>
      <c r="E62" s="13"/>
      <c r="F62" s="14"/>
      <c r="G62" s="14"/>
      <c r="H62" s="14"/>
      <c r="I62" s="14"/>
      <c r="J62" s="14"/>
      <c r="K62" s="14"/>
      <c r="L62" s="14"/>
      <c r="M62" s="14"/>
      <c r="N62" s="14"/>
      <c r="O62" s="14"/>
      <c r="P62" s="14"/>
      <c r="Q62" s="14"/>
      <c r="R62" s="14"/>
      <c r="S62" s="14"/>
      <c r="T62" s="14"/>
      <c r="U62" s="14"/>
      <c r="V62" s="14"/>
      <c r="W62" s="14"/>
      <c r="X62" s="14"/>
      <c r="Y62" s="14"/>
      <c r="Z62" s="14"/>
      <c r="AA62" s="14"/>
      <c r="AB62" s="14"/>
    </row>
    <row r="63">
      <c r="A63" s="13"/>
      <c r="B63" s="17"/>
      <c r="C63" s="13"/>
      <c r="D63" s="13"/>
      <c r="E63" s="13"/>
      <c r="F63" s="14"/>
      <c r="G63" s="14"/>
      <c r="H63" s="14"/>
      <c r="I63" s="14"/>
      <c r="J63" s="14"/>
      <c r="K63" s="14"/>
      <c r="L63" s="14"/>
      <c r="M63" s="14"/>
      <c r="N63" s="14"/>
      <c r="O63" s="14"/>
      <c r="P63" s="14"/>
      <c r="Q63" s="14"/>
      <c r="R63" s="14"/>
      <c r="S63" s="14"/>
      <c r="T63" s="14"/>
      <c r="U63" s="14"/>
      <c r="V63" s="14"/>
      <c r="W63" s="14"/>
      <c r="X63" s="14"/>
      <c r="Y63" s="14"/>
      <c r="Z63" s="14"/>
      <c r="AA63" s="14"/>
      <c r="AB63" s="14"/>
    </row>
    <row r="64">
      <c r="A64" s="13"/>
      <c r="B64" s="17"/>
      <c r="C64" s="13"/>
      <c r="D64" s="13"/>
      <c r="E64" s="13"/>
      <c r="F64" s="14"/>
      <c r="G64" s="14"/>
      <c r="H64" s="14"/>
      <c r="I64" s="14"/>
      <c r="J64" s="14"/>
      <c r="K64" s="14"/>
      <c r="L64" s="14"/>
      <c r="M64" s="14"/>
      <c r="N64" s="14"/>
      <c r="O64" s="14"/>
      <c r="P64" s="14"/>
      <c r="Q64" s="14"/>
      <c r="R64" s="14"/>
      <c r="S64" s="14"/>
      <c r="T64" s="14"/>
      <c r="U64" s="14"/>
      <c r="V64" s="14"/>
      <c r="W64" s="14"/>
      <c r="X64" s="14"/>
      <c r="Y64" s="14"/>
      <c r="Z64" s="14"/>
      <c r="AA64" s="14"/>
      <c r="AB64" s="14"/>
    </row>
    <row r="65">
      <c r="A65" s="13"/>
      <c r="B65" s="17"/>
      <c r="C65" s="13"/>
      <c r="D65" s="13"/>
      <c r="E65" s="13"/>
      <c r="F65" s="14"/>
      <c r="G65" s="14"/>
      <c r="H65" s="14"/>
      <c r="I65" s="14"/>
      <c r="J65" s="14"/>
      <c r="K65" s="14"/>
      <c r="L65" s="14"/>
      <c r="M65" s="14"/>
      <c r="N65" s="14"/>
      <c r="O65" s="14"/>
      <c r="P65" s="14"/>
      <c r="Q65" s="14"/>
      <c r="R65" s="14"/>
      <c r="S65" s="14"/>
      <c r="T65" s="14"/>
      <c r="U65" s="14"/>
      <c r="V65" s="14"/>
      <c r="W65" s="14"/>
      <c r="X65" s="14"/>
      <c r="Y65" s="14"/>
      <c r="Z65" s="14"/>
      <c r="AA65" s="14"/>
      <c r="AB65" s="14"/>
    </row>
    <row r="66">
      <c r="A66" s="13"/>
      <c r="B66" s="17"/>
      <c r="C66" s="13"/>
      <c r="D66" s="13"/>
      <c r="E66" s="13"/>
      <c r="F66" s="14"/>
      <c r="G66" s="14"/>
      <c r="H66" s="14"/>
      <c r="I66" s="14"/>
      <c r="J66" s="14"/>
      <c r="K66" s="14"/>
      <c r="L66" s="14"/>
      <c r="M66" s="14"/>
      <c r="N66" s="14"/>
      <c r="O66" s="14"/>
      <c r="P66" s="14"/>
      <c r="Q66" s="14"/>
      <c r="R66" s="14"/>
      <c r="S66" s="14"/>
      <c r="T66" s="14"/>
      <c r="U66" s="14"/>
      <c r="V66" s="14"/>
      <c r="W66" s="14"/>
      <c r="X66" s="14"/>
      <c r="Y66" s="14"/>
      <c r="Z66" s="14"/>
      <c r="AA66" s="14"/>
      <c r="AB66" s="14"/>
    </row>
    <row r="67">
      <c r="A67" s="13"/>
      <c r="B67" s="17"/>
      <c r="C67" s="13"/>
      <c r="D67" s="13"/>
      <c r="E67" s="13"/>
      <c r="F67" s="14"/>
      <c r="G67" s="14"/>
      <c r="H67" s="14"/>
      <c r="I67" s="14"/>
      <c r="J67" s="14"/>
      <c r="K67" s="14"/>
      <c r="L67" s="14"/>
      <c r="M67" s="14"/>
      <c r="N67" s="14"/>
      <c r="O67" s="14"/>
      <c r="P67" s="14"/>
      <c r="Q67" s="14"/>
      <c r="R67" s="14"/>
      <c r="S67" s="14"/>
      <c r="T67" s="14"/>
      <c r="U67" s="14"/>
      <c r="V67" s="14"/>
      <c r="W67" s="14"/>
      <c r="X67" s="14"/>
      <c r="Y67" s="14"/>
      <c r="Z67" s="14"/>
      <c r="AA67" s="14"/>
      <c r="AB67" s="14"/>
    </row>
    <row r="68">
      <c r="A68" s="13"/>
      <c r="B68" s="17"/>
      <c r="C68" s="13"/>
      <c r="D68" s="13"/>
      <c r="E68" s="13"/>
      <c r="F68" s="14"/>
      <c r="G68" s="14"/>
      <c r="H68" s="14"/>
      <c r="I68" s="14"/>
      <c r="J68" s="14"/>
      <c r="K68" s="14"/>
      <c r="L68" s="14"/>
      <c r="M68" s="14"/>
      <c r="N68" s="14"/>
      <c r="O68" s="14"/>
      <c r="P68" s="14"/>
      <c r="Q68" s="14"/>
      <c r="R68" s="14"/>
      <c r="S68" s="14"/>
      <c r="T68" s="14"/>
      <c r="U68" s="14"/>
      <c r="V68" s="14"/>
      <c r="W68" s="14"/>
      <c r="X68" s="14"/>
      <c r="Y68" s="14"/>
      <c r="Z68" s="14"/>
      <c r="AA68" s="14"/>
      <c r="AB68" s="14"/>
    </row>
    <row r="69">
      <c r="A69" s="13"/>
      <c r="B69" s="17"/>
      <c r="C69" s="13"/>
      <c r="D69" s="13"/>
      <c r="E69" s="13"/>
      <c r="F69" s="14"/>
      <c r="G69" s="14"/>
      <c r="H69" s="14"/>
      <c r="I69" s="14"/>
      <c r="J69" s="14"/>
      <c r="K69" s="14"/>
      <c r="L69" s="14"/>
      <c r="M69" s="14"/>
      <c r="N69" s="14"/>
      <c r="O69" s="14"/>
      <c r="P69" s="14"/>
      <c r="Q69" s="14"/>
      <c r="R69" s="14"/>
      <c r="S69" s="14"/>
      <c r="T69" s="14"/>
      <c r="U69" s="14"/>
      <c r="V69" s="14"/>
      <c r="W69" s="14"/>
      <c r="X69" s="14"/>
      <c r="Y69" s="14"/>
      <c r="Z69" s="14"/>
      <c r="AA69" s="14"/>
      <c r="AB69" s="14"/>
    </row>
    <row r="70">
      <c r="A70" s="13"/>
      <c r="B70" s="17"/>
      <c r="C70" s="13"/>
      <c r="D70" s="13"/>
      <c r="E70" s="13"/>
      <c r="F70" s="14"/>
      <c r="G70" s="14"/>
      <c r="H70" s="14"/>
      <c r="I70" s="14"/>
      <c r="J70" s="14"/>
      <c r="K70" s="14"/>
      <c r="L70" s="14"/>
      <c r="M70" s="14"/>
      <c r="N70" s="14"/>
      <c r="O70" s="14"/>
      <c r="P70" s="14"/>
      <c r="Q70" s="14"/>
      <c r="R70" s="14"/>
      <c r="S70" s="14"/>
      <c r="T70" s="14"/>
      <c r="U70" s="14"/>
      <c r="V70" s="14"/>
      <c r="W70" s="14"/>
      <c r="X70" s="14"/>
      <c r="Y70" s="14"/>
      <c r="Z70" s="14"/>
      <c r="AA70" s="14"/>
      <c r="AB70" s="14"/>
    </row>
    <row r="71">
      <c r="A71" s="13"/>
      <c r="B71" s="17"/>
      <c r="C71" s="13"/>
      <c r="D71" s="13"/>
      <c r="E71" s="13"/>
      <c r="F71" s="14"/>
      <c r="G71" s="14"/>
      <c r="H71" s="14"/>
      <c r="I71" s="14"/>
      <c r="J71" s="14"/>
      <c r="K71" s="14"/>
      <c r="L71" s="14"/>
      <c r="M71" s="14"/>
      <c r="N71" s="14"/>
      <c r="O71" s="14"/>
      <c r="P71" s="14"/>
      <c r="Q71" s="14"/>
      <c r="R71" s="14"/>
      <c r="S71" s="14"/>
      <c r="T71" s="14"/>
      <c r="U71" s="14"/>
      <c r="V71" s="14"/>
      <c r="W71" s="14"/>
      <c r="X71" s="14"/>
      <c r="Y71" s="14"/>
      <c r="Z71" s="14"/>
      <c r="AA71" s="14"/>
      <c r="AB71" s="14"/>
    </row>
    <row r="72">
      <c r="A72" s="13"/>
      <c r="B72" s="17"/>
      <c r="C72" s="13"/>
      <c r="D72" s="13"/>
      <c r="E72" s="13"/>
      <c r="F72" s="14"/>
      <c r="G72" s="14"/>
      <c r="H72" s="14"/>
      <c r="I72" s="14"/>
      <c r="J72" s="14"/>
      <c r="K72" s="14"/>
      <c r="L72" s="14"/>
      <c r="M72" s="14"/>
      <c r="N72" s="14"/>
      <c r="O72" s="14"/>
      <c r="P72" s="14"/>
      <c r="Q72" s="14"/>
      <c r="R72" s="14"/>
      <c r="S72" s="14"/>
      <c r="T72" s="14"/>
      <c r="U72" s="14"/>
      <c r="V72" s="14"/>
      <c r="W72" s="14"/>
      <c r="X72" s="14"/>
      <c r="Y72" s="14"/>
      <c r="Z72" s="14"/>
      <c r="AA72" s="14"/>
      <c r="AB72" s="14"/>
    </row>
    <row r="73">
      <c r="A73" s="13"/>
      <c r="B73" s="17"/>
      <c r="C73" s="13"/>
      <c r="D73" s="13"/>
      <c r="E73" s="13"/>
      <c r="F73" s="14"/>
      <c r="G73" s="14"/>
      <c r="H73" s="14"/>
      <c r="I73" s="14"/>
      <c r="J73" s="14"/>
      <c r="K73" s="14"/>
      <c r="L73" s="14"/>
      <c r="M73" s="14"/>
      <c r="N73" s="14"/>
      <c r="O73" s="14"/>
      <c r="P73" s="14"/>
      <c r="Q73" s="14"/>
      <c r="R73" s="14"/>
      <c r="S73" s="14"/>
      <c r="T73" s="14"/>
      <c r="U73" s="14"/>
      <c r="V73" s="14"/>
      <c r="W73" s="14"/>
      <c r="X73" s="14"/>
      <c r="Y73" s="14"/>
      <c r="Z73" s="14"/>
      <c r="AA73" s="14"/>
      <c r="AB73" s="14"/>
    </row>
    <row r="74">
      <c r="A74" s="13"/>
      <c r="B74" s="17"/>
      <c r="C74" s="13"/>
      <c r="D74" s="13"/>
      <c r="E74" s="13"/>
      <c r="F74" s="14"/>
      <c r="G74" s="14"/>
      <c r="H74" s="14"/>
      <c r="I74" s="14"/>
      <c r="J74" s="14"/>
      <c r="K74" s="14"/>
      <c r="L74" s="14"/>
      <c r="M74" s="14"/>
      <c r="N74" s="14"/>
      <c r="O74" s="14"/>
      <c r="P74" s="14"/>
      <c r="Q74" s="14"/>
      <c r="R74" s="14"/>
      <c r="S74" s="14"/>
      <c r="T74" s="14"/>
      <c r="U74" s="14"/>
      <c r="V74" s="14"/>
      <c r="W74" s="14"/>
      <c r="X74" s="14"/>
      <c r="Y74" s="14"/>
      <c r="Z74" s="14"/>
      <c r="AA74" s="14"/>
      <c r="AB74" s="14"/>
    </row>
    <row r="75">
      <c r="A75" s="13"/>
      <c r="B75" s="17"/>
      <c r="C75" s="13"/>
      <c r="D75" s="13"/>
      <c r="E75" s="13"/>
      <c r="F75" s="14"/>
      <c r="G75" s="14"/>
      <c r="H75" s="14"/>
      <c r="I75" s="14"/>
      <c r="J75" s="14"/>
      <c r="K75" s="14"/>
      <c r="L75" s="14"/>
      <c r="M75" s="14"/>
      <c r="N75" s="14"/>
      <c r="O75" s="14"/>
      <c r="P75" s="14"/>
      <c r="Q75" s="14"/>
      <c r="R75" s="14"/>
      <c r="S75" s="14"/>
      <c r="T75" s="14"/>
      <c r="U75" s="14"/>
      <c r="V75" s="14"/>
      <c r="W75" s="14"/>
      <c r="X75" s="14"/>
      <c r="Y75" s="14"/>
      <c r="Z75" s="14"/>
      <c r="AA75" s="14"/>
      <c r="AB75" s="14"/>
    </row>
    <row r="76">
      <c r="A76" s="13"/>
      <c r="B76" s="17"/>
      <c r="C76" s="13"/>
      <c r="D76" s="13"/>
      <c r="E76" s="13"/>
      <c r="F76" s="14"/>
      <c r="G76" s="14"/>
      <c r="H76" s="14"/>
      <c r="I76" s="14"/>
      <c r="J76" s="14"/>
      <c r="K76" s="14"/>
      <c r="L76" s="14"/>
      <c r="M76" s="14"/>
      <c r="N76" s="14"/>
      <c r="O76" s="14"/>
      <c r="P76" s="14"/>
      <c r="Q76" s="14"/>
      <c r="R76" s="14"/>
      <c r="S76" s="14"/>
      <c r="T76" s="14"/>
      <c r="U76" s="14"/>
      <c r="V76" s="14"/>
      <c r="W76" s="14"/>
      <c r="X76" s="14"/>
      <c r="Y76" s="14"/>
      <c r="Z76" s="14"/>
      <c r="AA76" s="14"/>
      <c r="AB76" s="14"/>
    </row>
    <row r="77">
      <c r="A77" s="13"/>
      <c r="B77" s="17"/>
      <c r="C77" s="13"/>
      <c r="D77" s="13"/>
      <c r="E77" s="13"/>
      <c r="F77" s="14"/>
      <c r="G77" s="14"/>
      <c r="H77" s="14"/>
      <c r="I77" s="14"/>
      <c r="J77" s="14"/>
      <c r="K77" s="14"/>
      <c r="L77" s="14"/>
      <c r="M77" s="14"/>
      <c r="N77" s="14"/>
      <c r="O77" s="14"/>
      <c r="P77" s="14"/>
      <c r="Q77" s="14"/>
      <c r="R77" s="14"/>
      <c r="S77" s="14"/>
      <c r="T77" s="14"/>
      <c r="U77" s="14"/>
      <c r="V77" s="14"/>
      <c r="W77" s="14"/>
      <c r="X77" s="14"/>
      <c r="Y77" s="14"/>
      <c r="Z77" s="14"/>
      <c r="AA77" s="14"/>
      <c r="AB77" s="14"/>
    </row>
    <row r="78">
      <c r="A78" s="13"/>
      <c r="B78" s="17"/>
      <c r="C78" s="13"/>
      <c r="D78" s="13"/>
      <c r="E78" s="13"/>
      <c r="F78" s="14"/>
      <c r="G78" s="14"/>
      <c r="H78" s="14"/>
      <c r="I78" s="14"/>
      <c r="J78" s="14"/>
      <c r="K78" s="14"/>
      <c r="L78" s="14"/>
      <c r="M78" s="14"/>
      <c r="N78" s="14"/>
      <c r="O78" s="14"/>
      <c r="P78" s="14"/>
      <c r="Q78" s="14"/>
      <c r="R78" s="14"/>
      <c r="S78" s="14"/>
      <c r="T78" s="14"/>
      <c r="U78" s="14"/>
      <c r="V78" s="14"/>
      <c r="W78" s="14"/>
      <c r="X78" s="14"/>
      <c r="Y78" s="14"/>
      <c r="Z78" s="14"/>
      <c r="AA78" s="14"/>
      <c r="AB78" s="14"/>
    </row>
    <row r="79">
      <c r="A79" s="13"/>
      <c r="B79" s="17"/>
      <c r="C79" s="13"/>
      <c r="D79" s="13"/>
      <c r="E79" s="13"/>
      <c r="F79" s="14"/>
      <c r="G79" s="14"/>
      <c r="H79" s="14"/>
      <c r="I79" s="14"/>
      <c r="J79" s="14"/>
      <c r="K79" s="14"/>
      <c r="L79" s="14"/>
      <c r="M79" s="14"/>
      <c r="N79" s="14"/>
      <c r="O79" s="14"/>
      <c r="P79" s="14"/>
      <c r="Q79" s="14"/>
      <c r="R79" s="14"/>
      <c r="S79" s="14"/>
      <c r="T79" s="14"/>
      <c r="U79" s="14"/>
      <c r="V79" s="14"/>
      <c r="W79" s="14"/>
      <c r="X79" s="14"/>
      <c r="Y79" s="14"/>
      <c r="Z79" s="14"/>
      <c r="AA79" s="14"/>
      <c r="AB79" s="14"/>
    </row>
    <row r="80">
      <c r="A80" s="13"/>
      <c r="B80" s="17"/>
      <c r="C80" s="13"/>
      <c r="D80" s="13"/>
      <c r="E80" s="13"/>
      <c r="F80" s="14"/>
      <c r="G80" s="14"/>
      <c r="H80" s="14"/>
      <c r="I80" s="14"/>
      <c r="J80" s="14"/>
      <c r="K80" s="14"/>
      <c r="L80" s="14"/>
      <c r="M80" s="14"/>
      <c r="N80" s="14"/>
      <c r="O80" s="14"/>
      <c r="P80" s="14"/>
      <c r="Q80" s="14"/>
      <c r="R80" s="14"/>
      <c r="S80" s="14"/>
      <c r="T80" s="14"/>
      <c r="U80" s="14"/>
      <c r="V80" s="14"/>
      <c r="W80" s="14"/>
      <c r="X80" s="14"/>
      <c r="Y80" s="14"/>
      <c r="Z80" s="14"/>
      <c r="AA80" s="14"/>
      <c r="AB80" s="14"/>
    </row>
    <row r="81">
      <c r="A81" s="13"/>
      <c r="B81" s="17"/>
      <c r="C81" s="13"/>
      <c r="D81" s="13"/>
      <c r="E81" s="13"/>
      <c r="F81" s="14"/>
      <c r="G81" s="14"/>
      <c r="H81" s="14"/>
      <c r="I81" s="14"/>
      <c r="J81" s="14"/>
      <c r="K81" s="14"/>
      <c r="L81" s="14"/>
      <c r="M81" s="14"/>
      <c r="N81" s="14"/>
      <c r="O81" s="14"/>
      <c r="P81" s="14"/>
      <c r="Q81" s="14"/>
      <c r="R81" s="14"/>
      <c r="S81" s="14"/>
      <c r="T81" s="14"/>
      <c r="U81" s="14"/>
      <c r="V81" s="14"/>
      <c r="W81" s="14"/>
      <c r="X81" s="14"/>
      <c r="Y81" s="14"/>
      <c r="Z81" s="14"/>
      <c r="AA81" s="14"/>
      <c r="AB81" s="14"/>
    </row>
    <row r="82">
      <c r="A82" s="13"/>
      <c r="B82" s="17"/>
      <c r="C82" s="13"/>
      <c r="D82" s="13"/>
      <c r="E82" s="13"/>
      <c r="F82" s="14"/>
      <c r="G82" s="14"/>
      <c r="H82" s="14"/>
      <c r="I82" s="14"/>
      <c r="J82" s="14"/>
      <c r="K82" s="14"/>
      <c r="L82" s="14"/>
      <c r="M82" s="14"/>
      <c r="N82" s="14"/>
      <c r="O82" s="14"/>
      <c r="P82" s="14"/>
      <c r="Q82" s="14"/>
      <c r="R82" s="14"/>
      <c r="S82" s="14"/>
      <c r="T82" s="14"/>
      <c r="U82" s="14"/>
      <c r="V82" s="14"/>
      <c r="W82" s="14"/>
      <c r="X82" s="14"/>
      <c r="Y82" s="14"/>
      <c r="Z82" s="14"/>
      <c r="AA82" s="14"/>
      <c r="AB82" s="14"/>
    </row>
    <row r="83">
      <c r="A83" s="13"/>
      <c r="B83" s="17"/>
      <c r="C83" s="13"/>
      <c r="D83" s="13"/>
      <c r="E83" s="13"/>
      <c r="F83" s="14"/>
      <c r="G83" s="14"/>
      <c r="H83" s="14"/>
      <c r="I83" s="14"/>
      <c r="J83" s="14"/>
      <c r="K83" s="14"/>
      <c r="L83" s="14"/>
      <c r="M83" s="14"/>
      <c r="N83" s="14"/>
      <c r="O83" s="14"/>
      <c r="P83" s="14"/>
      <c r="Q83" s="14"/>
      <c r="R83" s="14"/>
      <c r="S83" s="14"/>
      <c r="T83" s="14"/>
      <c r="U83" s="14"/>
      <c r="V83" s="14"/>
      <c r="W83" s="14"/>
      <c r="X83" s="14"/>
      <c r="Y83" s="14"/>
      <c r="Z83" s="14"/>
      <c r="AA83" s="14"/>
      <c r="AB83" s="14"/>
    </row>
    <row r="84">
      <c r="A84" s="13"/>
      <c r="B84" s="17"/>
      <c r="C84" s="13"/>
      <c r="D84" s="13"/>
      <c r="E84" s="13"/>
      <c r="F84" s="14"/>
      <c r="G84" s="14"/>
      <c r="H84" s="14"/>
      <c r="I84" s="14"/>
      <c r="J84" s="14"/>
      <c r="K84" s="14"/>
      <c r="L84" s="14"/>
      <c r="M84" s="14"/>
      <c r="N84" s="14"/>
      <c r="O84" s="14"/>
      <c r="P84" s="14"/>
      <c r="Q84" s="14"/>
      <c r="R84" s="14"/>
      <c r="S84" s="14"/>
      <c r="T84" s="14"/>
      <c r="U84" s="14"/>
      <c r="V84" s="14"/>
      <c r="W84" s="14"/>
      <c r="X84" s="14"/>
      <c r="Y84" s="14"/>
      <c r="Z84" s="14"/>
      <c r="AA84" s="14"/>
      <c r="AB84" s="14"/>
    </row>
    <row r="85">
      <c r="A85" s="13"/>
      <c r="B85" s="17"/>
      <c r="C85" s="13"/>
      <c r="D85" s="13"/>
      <c r="E85" s="13"/>
      <c r="F85" s="14"/>
      <c r="G85" s="14"/>
      <c r="H85" s="14"/>
      <c r="I85" s="14"/>
      <c r="J85" s="14"/>
      <c r="K85" s="14"/>
      <c r="L85" s="14"/>
      <c r="M85" s="14"/>
      <c r="N85" s="14"/>
      <c r="O85" s="14"/>
      <c r="P85" s="14"/>
      <c r="Q85" s="14"/>
      <c r="R85" s="14"/>
      <c r="S85" s="14"/>
      <c r="T85" s="14"/>
      <c r="U85" s="14"/>
      <c r="V85" s="14"/>
      <c r="W85" s="14"/>
      <c r="X85" s="14"/>
      <c r="Y85" s="14"/>
      <c r="Z85" s="14"/>
      <c r="AA85" s="14"/>
      <c r="AB85" s="14"/>
    </row>
    <row r="86">
      <c r="A86" s="13"/>
      <c r="B86" s="17"/>
      <c r="C86" s="13"/>
      <c r="D86" s="13"/>
      <c r="E86" s="13"/>
      <c r="F86" s="14"/>
      <c r="G86" s="14"/>
      <c r="H86" s="14"/>
      <c r="I86" s="14"/>
      <c r="J86" s="14"/>
      <c r="K86" s="14"/>
      <c r="L86" s="14"/>
      <c r="M86" s="14"/>
      <c r="N86" s="14"/>
      <c r="O86" s="14"/>
      <c r="P86" s="14"/>
      <c r="Q86" s="14"/>
      <c r="R86" s="14"/>
      <c r="S86" s="14"/>
      <c r="T86" s="14"/>
      <c r="U86" s="14"/>
      <c r="V86" s="14"/>
      <c r="W86" s="14"/>
      <c r="X86" s="14"/>
      <c r="Y86" s="14"/>
      <c r="Z86" s="14"/>
      <c r="AA86" s="14"/>
      <c r="AB86" s="14"/>
    </row>
    <row r="87">
      <c r="A87" s="13"/>
      <c r="B87" s="17"/>
      <c r="C87" s="13"/>
      <c r="D87" s="13"/>
      <c r="E87" s="13"/>
      <c r="F87" s="14"/>
      <c r="G87" s="14"/>
      <c r="H87" s="14"/>
      <c r="I87" s="14"/>
      <c r="J87" s="14"/>
      <c r="K87" s="14"/>
      <c r="L87" s="14"/>
      <c r="M87" s="14"/>
      <c r="N87" s="14"/>
      <c r="O87" s="14"/>
      <c r="P87" s="14"/>
      <c r="Q87" s="14"/>
      <c r="R87" s="14"/>
      <c r="S87" s="14"/>
      <c r="T87" s="14"/>
      <c r="U87" s="14"/>
      <c r="V87" s="14"/>
      <c r="W87" s="14"/>
      <c r="X87" s="14"/>
      <c r="Y87" s="14"/>
      <c r="Z87" s="14"/>
      <c r="AA87" s="14"/>
      <c r="AB87" s="14"/>
    </row>
    <row r="88">
      <c r="A88" s="13"/>
      <c r="B88" s="17"/>
      <c r="C88" s="13"/>
      <c r="D88" s="13"/>
      <c r="E88" s="13"/>
      <c r="F88" s="14"/>
      <c r="G88" s="14"/>
      <c r="H88" s="14"/>
      <c r="I88" s="14"/>
      <c r="J88" s="14"/>
      <c r="K88" s="14"/>
      <c r="L88" s="14"/>
      <c r="M88" s="14"/>
      <c r="N88" s="14"/>
      <c r="O88" s="14"/>
      <c r="P88" s="14"/>
      <c r="Q88" s="14"/>
      <c r="R88" s="14"/>
      <c r="S88" s="14"/>
      <c r="T88" s="14"/>
      <c r="U88" s="14"/>
      <c r="V88" s="14"/>
      <c r="W88" s="14"/>
      <c r="X88" s="14"/>
      <c r="Y88" s="14"/>
      <c r="Z88" s="14"/>
      <c r="AA88" s="14"/>
      <c r="AB88" s="14"/>
    </row>
    <row r="89">
      <c r="A89" s="13"/>
      <c r="B89" s="17"/>
      <c r="C89" s="13"/>
      <c r="D89" s="13"/>
      <c r="E89" s="13"/>
      <c r="F89" s="14"/>
      <c r="G89" s="14"/>
      <c r="H89" s="14"/>
      <c r="I89" s="14"/>
      <c r="J89" s="14"/>
      <c r="K89" s="14"/>
      <c r="L89" s="14"/>
      <c r="M89" s="14"/>
      <c r="N89" s="14"/>
      <c r="O89" s="14"/>
      <c r="P89" s="14"/>
      <c r="Q89" s="14"/>
      <c r="R89" s="14"/>
      <c r="S89" s="14"/>
      <c r="T89" s="14"/>
      <c r="U89" s="14"/>
      <c r="V89" s="14"/>
      <c r="W89" s="14"/>
      <c r="X89" s="14"/>
      <c r="Y89" s="14"/>
      <c r="Z89" s="14"/>
      <c r="AA89" s="14"/>
      <c r="AB89" s="14"/>
    </row>
    <row r="90">
      <c r="A90" s="13"/>
      <c r="B90" s="17"/>
      <c r="C90" s="13"/>
      <c r="D90" s="13"/>
      <c r="E90" s="13"/>
      <c r="F90" s="14"/>
      <c r="G90" s="14"/>
      <c r="H90" s="14"/>
      <c r="I90" s="14"/>
      <c r="J90" s="14"/>
      <c r="K90" s="14"/>
      <c r="L90" s="14"/>
      <c r="M90" s="14"/>
      <c r="N90" s="14"/>
      <c r="O90" s="14"/>
      <c r="P90" s="14"/>
      <c r="Q90" s="14"/>
      <c r="R90" s="14"/>
      <c r="S90" s="14"/>
      <c r="T90" s="14"/>
      <c r="U90" s="14"/>
      <c r="V90" s="14"/>
      <c r="W90" s="14"/>
      <c r="X90" s="14"/>
      <c r="Y90" s="14"/>
      <c r="Z90" s="14"/>
      <c r="AA90" s="14"/>
      <c r="AB90" s="14"/>
    </row>
    <row r="91">
      <c r="A91" s="13"/>
      <c r="B91" s="17"/>
      <c r="C91" s="13"/>
      <c r="D91" s="13"/>
      <c r="E91" s="13"/>
      <c r="F91" s="14"/>
      <c r="G91" s="14"/>
      <c r="H91" s="14"/>
      <c r="I91" s="14"/>
      <c r="J91" s="14"/>
      <c r="K91" s="14"/>
      <c r="L91" s="14"/>
      <c r="M91" s="14"/>
      <c r="N91" s="14"/>
      <c r="O91" s="14"/>
      <c r="P91" s="14"/>
      <c r="Q91" s="14"/>
      <c r="R91" s="14"/>
      <c r="S91" s="14"/>
      <c r="T91" s="14"/>
      <c r="U91" s="14"/>
      <c r="V91" s="14"/>
      <c r="W91" s="14"/>
      <c r="X91" s="14"/>
      <c r="Y91" s="14"/>
      <c r="Z91" s="14"/>
      <c r="AA91" s="14"/>
      <c r="AB91" s="14"/>
    </row>
    <row r="92">
      <c r="A92" s="13"/>
      <c r="B92" s="17"/>
      <c r="C92" s="13"/>
      <c r="D92" s="13"/>
      <c r="E92" s="13"/>
      <c r="F92" s="14"/>
      <c r="G92" s="14"/>
      <c r="H92" s="14"/>
      <c r="I92" s="14"/>
      <c r="J92" s="14"/>
      <c r="K92" s="14"/>
      <c r="L92" s="14"/>
      <c r="M92" s="14"/>
      <c r="N92" s="14"/>
      <c r="O92" s="14"/>
      <c r="P92" s="14"/>
      <c r="Q92" s="14"/>
      <c r="R92" s="14"/>
      <c r="S92" s="14"/>
      <c r="T92" s="14"/>
      <c r="U92" s="14"/>
      <c r="V92" s="14"/>
      <c r="W92" s="14"/>
      <c r="X92" s="14"/>
      <c r="Y92" s="14"/>
      <c r="Z92" s="14"/>
      <c r="AA92" s="14"/>
      <c r="AB92" s="14"/>
    </row>
    <row r="93">
      <c r="A93" s="13"/>
      <c r="B93" s="17"/>
      <c r="C93" s="13"/>
      <c r="D93" s="13"/>
      <c r="E93" s="13"/>
      <c r="F93" s="14"/>
      <c r="G93" s="14"/>
      <c r="H93" s="14"/>
      <c r="I93" s="14"/>
      <c r="J93" s="14"/>
      <c r="K93" s="14"/>
      <c r="L93" s="14"/>
      <c r="M93" s="14"/>
      <c r="N93" s="14"/>
      <c r="O93" s="14"/>
      <c r="P93" s="14"/>
      <c r="Q93" s="14"/>
      <c r="R93" s="14"/>
      <c r="S93" s="14"/>
      <c r="T93" s="14"/>
      <c r="U93" s="14"/>
      <c r="V93" s="14"/>
      <c r="W93" s="14"/>
      <c r="X93" s="14"/>
      <c r="Y93" s="14"/>
      <c r="Z93" s="14"/>
      <c r="AA93" s="14"/>
      <c r="AB93" s="14"/>
    </row>
    <row r="94">
      <c r="A94" s="13"/>
      <c r="B94" s="17"/>
      <c r="C94" s="13"/>
      <c r="D94" s="13"/>
      <c r="E94" s="13"/>
      <c r="F94" s="14"/>
      <c r="G94" s="14"/>
      <c r="H94" s="14"/>
      <c r="I94" s="14"/>
      <c r="J94" s="14"/>
      <c r="K94" s="14"/>
      <c r="L94" s="14"/>
      <c r="M94" s="14"/>
      <c r="N94" s="14"/>
      <c r="O94" s="14"/>
      <c r="P94" s="14"/>
      <c r="Q94" s="14"/>
      <c r="R94" s="14"/>
      <c r="S94" s="14"/>
      <c r="T94" s="14"/>
      <c r="U94" s="14"/>
      <c r="V94" s="14"/>
      <c r="W94" s="14"/>
      <c r="X94" s="14"/>
      <c r="Y94" s="14"/>
      <c r="Z94" s="14"/>
      <c r="AA94" s="14"/>
      <c r="AB94" s="14"/>
    </row>
    <row r="95">
      <c r="A95" s="13"/>
      <c r="B95" s="17"/>
      <c r="C95" s="13"/>
      <c r="D95" s="13"/>
      <c r="E95" s="13"/>
      <c r="F95" s="14"/>
      <c r="G95" s="14"/>
      <c r="H95" s="14"/>
      <c r="I95" s="14"/>
      <c r="J95" s="14"/>
      <c r="K95" s="14"/>
      <c r="L95" s="14"/>
      <c r="M95" s="14"/>
      <c r="N95" s="14"/>
      <c r="O95" s="14"/>
      <c r="P95" s="14"/>
      <c r="Q95" s="14"/>
      <c r="R95" s="14"/>
      <c r="S95" s="14"/>
      <c r="T95" s="14"/>
      <c r="U95" s="14"/>
      <c r="V95" s="14"/>
      <c r="W95" s="14"/>
      <c r="X95" s="14"/>
      <c r="Y95" s="14"/>
      <c r="Z95" s="14"/>
      <c r="AA95" s="14"/>
      <c r="AB95" s="14"/>
    </row>
    <row r="96">
      <c r="A96" s="13"/>
      <c r="B96" s="17"/>
      <c r="C96" s="13"/>
      <c r="D96" s="13"/>
      <c r="E96" s="13"/>
      <c r="F96" s="14"/>
      <c r="G96" s="14"/>
      <c r="H96" s="14"/>
      <c r="I96" s="14"/>
      <c r="J96" s="14"/>
      <c r="K96" s="14"/>
      <c r="L96" s="14"/>
      <c r="M96" s="14"/>
      <c r="N96" s="14"/>
      <c r="O96" s="14"/>
      <c r="P96" s="14"/>
      <c r="Q96" s="14"/>
      <c r="R96" s="14"/>
      <c r="S96" s="14"/>
      <c r="T96" s="14"/>
      <c r="U96" s="14"/>
      <c r="V96" s="14"/>
      <c r="W96" s="14"/>
      <c r="X96" s="14"/>
      <c r="Y96" s="14"/>
      <c r="Z96" s="14"/>
      <c r="AA96" s="14"/>
      <c r="AB96" s="14"/>
    </row>
    <row r="97">
      <c r="A97" s="13"/>
      <c r="B97" s="17"/>
      <c r="C97" s="13"/>
      <c r="D97" s="13"/>
      <c r="E97" s="13"/>
      <c r="F97" s="14"/>
      <c r="G97" s="14"/>
      <c r="H97" s="14"/>
      <c r="I97" s="14"/>
      <c r="J97" s="14"/>
      <c r="K97" s="14"/>
      <c r="L97" s="14"/>
      <c r="M97" s="14"/>
      <c r="N97" s="14"/>
      <c r="O97" s="14"/>
      <c r="P97" s="14"/>
      <c r="Q97" s="14"/>
      <c r="R97" s="14"/>
      <c r="S97" s="14"/>
      <c r="T97" s="14"/>
      <c r="U97" s="14"/>
      <c r="V97" s="14"/>
      <c r="W97" s="14"/>
      <c r="X97" s="14"/>
      <c r="Y97" s="14"/>
      <c r="Z97" s="14"/>
      <c r="AA97" s="14"/>
      <c r="AB97" s="14"/>
    </row>
    <row r="98">
      <c r="A98" s="13"/>
      <c r="B98" s="17"/>
      <c r="C98" s="13"/>
      <c r="D98" s="13"/>
      <c r="E98" s="13"/>
      <c r="F98" s="14"/>
      <c r="G98" s="14"/>
      <c r="H98" s="14"/>
      <c r="I98" s="14"/>
      <c r="J98" s="14"/>
      <c r="K98" s="14"/>
      <c r="L98" s="14"/>
      <c r="M98" s="14"/>
      <c r="N98" s="14"/>
      <c r="O98" s="14"/>
      <c r="P98" s="14"/>
      <c r="Q98" s="14"/>
      <c r="R98" s="14"/>
      <c r="S98" s="14"/>
      <c r="T98" s="14"/>
      <c r="U98" s="14"/>
      <c r="V98" s="14"/>
      <c r="W98" s="14"/>
      <c r="X98" s="14"/>
      <c r="Y98" s="14"/>
      <c r="Z98" s="14"/>
      <c r="AA98" s="14"/>
      <c r="AB98" s="14"/>
    </row>
    <row r="99">
      <c r="A99" s="13"/>
      <c r="B99" s="17"/>
      <c r="C99" s="13"/>
      <c r="D99" s="13"/>
      <c r="E99" s="13"/>
      <c r="F99" s="14"/>
      <c r="G99" s="14"/>
      <c r="H99" s="14"/>
      <c r="I99" s="14"/>
      <c r="J99" s="14"/>
      <c r="K99" s="14"/>
      <c r="L99" s="14"/>
      <c r="M99" s="14"/>
      <c r="N99" s="14"/>
      <c r="O99" s="14"/>
      <c r="P99" s="14"/>
      <c r="Q99" s="14"/>
      <c r="R99" s="14"/>
      <c r="S99" s="14"/>
      <c r="T99" s="14"/>
      <c r="U99" s="14"/>
      <c r="V99" s="14"/>
      <c r="W99" s="14"/>
      <c r="X99" s="14"/>
      <c r="Y99" s="14"/>
      <c r="Z99" s="14"/>
      <c r="AA99" s="14"/>
      <c r="AB99" s="14"/>
    </row>
    <row r="100">
      <c r="A100" s="13"/>
      <c r="B100" s="17"/>
      <c r="C100" s="13"/>
      <c r="D100" s="13"/>
      <c r="E100" s="13"/>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c r="A101" s="13"/>
      <c r="B101" s="17"/>
      <c r="C101" s="13"/>
      <c r="D101" s="13"/>
      <c r="E101" s="13"/>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c r="A102" s="13"/>
      <c r="B102" s="17"/>
      <c r="C102" s="13"/>
      <c r="D102" s="13"/>
      <c r="E102" s="13"/>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c r="A103" s="13"/>
      <c r="B103" s="17"/>
      <c r="C103" s="13"/>
      <c r="D103" s="13"/>
      <c r="E103" s="13"/>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c r="A104" s="13"/>
      <c r="B104" s="17"/>
      <c r="C104" s="13"/>
      <c r="D104" s="13"/>
      <c r="E104" s="13"/>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c r="A105" s="13"/>
      <c r="B105" s="17"/>
      <c r="C105" s="13"/>
      <c r="D105" s="13"/>
      <c r="E105" s="13"/>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c r="A106" s="13"/>
      <c r="B106" s="17"/>
      <c r="C106" s="13"/>
      <c r="D106" s="13"/>
      <c r="E106" s="13"/>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c r="A107" s="13"/>
      <c r="B107" s="17"/>
      <c r="C107" s="13"/>
      <c r="D107" s="13"/>
      <c r="E107" s="13"/>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c r="A108" s="13"/>
      <c r="B108" s="17"/>
      <c r="C108" s="13"/>
      <c r="D108" s="13"/>
      <c r="E108" s="13"/>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c r="A109" s="13"/>
      <c r="B109" s="17"/>
      <c r="C109" s="13"/>
      <c r="D109" s="13"/>
      <c r="E109" s="13"/>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c r="A110" s="13"/>
      <c r="B110" s="17"/>
      <c r="C110" s="13"/>
      <c r="D110" s="13"/>
      <c r="E110" s="13"/>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c r="A111" s="13"/>
      <c r="B111" s="17"/>
      <c r="C111" s="13"/>
      <c r="D111" s="13"/>
      <c r="E111" s="13"/>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c r="A112" s="13"/>
      <c r="B112" s="17"/>
      <c r="C112" s="13"/>
      <c r="D112" s="13"/>
      <c r="E112" s="13"/>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c r="A113" s="13"/>
      <c r="B113" s="17"/>
      <c r="C113" s="13"/>
      <c r="D113" s="13"/>
      <c r="E113" s="13"/>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c r="A114" s="13"/>
      <c r="B114" s="17"/>
      <c r="C114" s="13"/>
      <c r="D114" s="13"/>
      <c r="E114" s="13"/>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c r="A115" s="13"/>
      <c r="B115" s="17"/>
      <c r="C115" s="13"/>
      <c r="D115" s="13"/>
      <c r="E115" s="13"/>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c r="A116" s="13"/>
      <c r="B116" s="17"/>
      <c r="C116" s="13"/>
      <c r="D116" s="13"/>
      <c r="E116" s="13"/>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c r="A117" s="13"/>
      <c r="B117" s="17"/>
      <c r="C117" s="13"/>
      <c r="D117" s="13"/>
      <c r="E117" s="13"/>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c r="A118" s="13"/>
      <c r="B118" s="17"/>
      <c r="C118" s="13"/>
      <c r="D118" s="13"/>
      <c r="E118" s="13"/>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c r="A119" s="13"/>
      <c r="B119" s="17"/>
      <c r="C119" s="13"/>
      <c r="D119" s="13"/>
      <c r="E119" s="13"/>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c r="A120" s="13"/>
      <c r="B120" s="17"/>
      <c r="C120" s="13"/>
      <c r="D120" s="13"/>
      <c r="E120" s="13"/>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c r="A121" s="13"/>
      <c r="B121" s="17"/>
      <c r="C121" s="13"/>
      <c r="D121" s="13"/>
      <c r="E121" s="13"/>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c r="A122" s="13"/>
      <c r="B122" s="17"/>
      <c r="C122" s="13"/>
      <c r="D122" s="13"/>
      <c r="E122" s="13"/>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c r="A123" s="13"/>
      <c r="B123" s="17"/>
      <c r="C123" s="13"/>
      <c r="D123" s="13"/>
      <c r="E123" s="13"/>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c r="A124" s="13"/>
      <c r="B124" s="17"/>
      <c r="C124" s="13"/>
      <c r="D124" s="13"/>
      <c r="E124" s="13"/>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c r="A125" s="13"/>
      <c r="B125" s="17"/>
      <c r="C125" s="13"/>
      <c r="D125" s="13"/>
      <c r="E125" s="13"/>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c r="A126" s="13"/>
      <c r="B126" s="17"/>
      <c r="C126" s="13"/>
      <c r="D126" s="13"/>
      <c r="E126" s="13"/>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c r="A127" s="13"/>
      <c r="B127" s="17"/>
      <c r="C127" s="13"/>
      <c r="D127" s="13"/>
      <c r="E127" s="13"/>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c r="A128" s="13"/>
      <c r="B128" s="17"/>
      <c r="C128" s="13"/>
      <c r="D128" s="13"/>
      <c r="E128" s="13"/>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c r="A129" s="13"/>
      <c r="B129" s="17"/>
      <c r="C129" s="13"/>
      <c r="D129" s="13"/>
      <c r="E129" s="13"/>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c r="A130" s="13"/>
      <c r="B130" s="17"/>
      <c r="C130" s="13"/>
      <c r="D130" s="13"/>
      <c r="E130" s="13"/>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c r="A131" s="13"/>
      <c r="B131" s="17"/>
      <c r="C131" s="13"/>
      <c r="D131" s="13"/>
      <c r="E131" s="13"/>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c r="A132" s="13"/>
      <c r="B132" s="17"/>
      <c r="C132" s="13"/>
      <c r="D132" s="13"/>
      <c r="E132" s="13"/>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c r="A133" s="13"/>
      <c r="B133" s="17"/>
      <c r="C133" s="13"/>
      <c r="D133" s="13"/>
      <c r="E133" s="13"/>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c r="A134" s="13"/>
      <c r="B134" s="17"/>
      <c r="C134" s="13"/>
      <c r="D134" s="13"/>
      <c r="E134" s="13"/>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c r="A135" s="13"/>
      <c r="B135" s="17"/>
      <c r="C135" s="13"/>
      <c r="D135" s="13"/>
      <c r="E135" s="13"/>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c r="A136" s="13"/>
      <c r="B136" s="17"/>
      <c r="C136" s="13"/>
      <c r="D136" s="13"/>
      <c r="E136" s="13"/>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c r="A137" s="13"/>
      <c r="B137" s="17"/>
      <c r="C137" s="13"/>
      <c r="D137" s="13"/>
      <c r="E137" s="13"/>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c r="A138" s="13"/>
      <c r="B138" s="17"/>
      <c r="C138" s="13"/>
      <c r="D138" s="13"/>
      <c r="E138" s="13"/>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c r="A139" s="13"/>
      <c r="B139" s="17"/>
      <c r="C139" s="13"/>
      <c r="D139" s="13"/>
      <c r="E139" s="13"/>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c r="A140" s="13"/>
      <c r="B140" s="17"/>
      <c r="C140" s="13"/>
      <c r="D140" s="13"/>
      <c r="E140" s="13"/>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c r="A141" s="13"/>
      <c r="B141" s="17"/>
      <c r="C141" s="13"/>
      <c r="D141" s="13"/>
      <c r="E141" s="13"/>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c r="A142" s="13"/>
      <c r="B142" s="17"/>
      <c r="C142" s="13"/>
      <c r="D142" s="13"/>
      <c r="E142" s="13"/>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c r="A143" s="13"/>
      <c r="B143" s="17"/>
      <c r="C143" s="13"/>
      <c r="D143" s="13"/>
      <c r="E143" s="13"/>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c r="A144" s="13"/>
      <c r="B144" s="17"/>
      <c r="C144" s="13"/>
      <c r="D144" s="13"/>
      <c r="E144" s="13"/>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c r="A145" s="13"/>
      <c r="B145" s="17"/>
      <c r="C145" s="13"/>
      <c r="D145" s="13"/>
      <c r="E145" s="13"/>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c r="A146" s="13"/>
      <c r="B146" s="17"/>
      <c r="C146" s="13"/>
      <c r="D146" s="13"/>
      <c r="E146" s="13"/>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c r="A147" s="13"/>
      <c r="B147" s="17"/>
      <c r="C147" s="13"/>
      <c r="D147" s="13"/>
      <c r="E147" s="13"/>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c r="A148" s="13"/>
      <c r="B148" s="17"/>
      <c r="C148" s="13"/>
      <c r="D148" s="13"/>
      <c r="E148" s="13"/>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c r="A149" s="13"/>
      <c r="B149" s="17"/>
      <c r="C149" s="13"/>
      <c r="D149" s="13"/>
      <c r="E149" s="13"/>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c r="A150" s="13"/>
      <c r="B150" s="17"/>
      <c r="C150" s="13"/>
      <c r="D150" s="13"/>
      <c r="E150" s="13"/>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c r="A151" s="13"/>
      <c r="B151" s="17"/>
      <c r="C151" s="13"/>
      <c r="D151" s="13"/>
      <c r="E151" s="13"/>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c r="A152" s="13"/>
      <c r="B152" s="17"/>
      <c r="C152" s="13"/>
      <c r="D152" s="13"/>
      <c r="E152" s="13"/>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c r="A153" s="13"/>
      <c r="B153" s="17"/>
      <c r="C153" s="13"/>
      <c r="D153" s="13"/>
      <c r="E153" s="13"/>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c r="A154" s="13"/>
      <c r="B154" s="17"/>
      <c r="C154" s="13"/>
      <c r="D154" s="13"/>
      <c r="E154" s="13"/>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c r="A155" s="13"/>
      <c r="B155" s="17"/>
      <c r="C155" s="13"/>
      <c r="D155" s="13"/>
      <c r="E155" s="13"/>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c r="A156" s="13"/>
      <c r="B156" s="17"/>
      <c r="C156" s="13"/>
      <c r="D156" s="13"/>
      <c r="E156" s="13"/>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c r="A157" s="13"/>
      <c r="B157" s="17"/>
      <c r="C157" s="13"/>
      <c r="D157" s="13"/>
      <c r="E157" s="13"/>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c r="A158" s="13"/>
      <c r="B158" s="17"/>
      <c r="C158" s="13"/>
      <c r="D158" s="13"/>
      <c r="E158" s="13"/>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c r="A159" s="13"/>
      <c r="B159" s="17"/>
      <c r="C159" s="13"/>
      <c r="D159" s="13"/>
      <c r="E159" s="13"/>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c r="A160" s="13"/>
      <c r="B160" s="17"/>
      <c r="C160" s="13"/>
      <c r="D160" s="13"/>
      <c r="E160" s="13"/>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c r="A161" s="13"/>
      <c r="B161" s="17"/>
      <c r="C161" s="13"/>
      <c r="D161" s="13"/>
      <c r="E161" s="13"/>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c r="A162" s="13"/>
      <c r="B162" s="17"/>
      <c r="C162" s="13"/>
      <c r="D162" s="13"/>
      <c r="E162" s="13"/>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c r="A163" s="13"/>
      <c r="B163" s="17"/>
      <c r="C163" s="13"/>
      <c r="D163" s="13"/>
      <c r="E163" s="13"/>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c r="A164" s="13"/>
      <c r="B164" s="17"/>
      <c r="C164" s="13"/>
      <c r="D164" s="13"/>
      <c r="E164" s="13"/>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c r="A165" s="13"/>
      <c r="B165" s="17"/>
      <c r="C165" s="13"/>
      <c r="D165" s="13"/>
      <c r="E165" s="13"/>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c r="A166" s="13"/>
      <c r="B166" s="17"/>
      <c r="C166" s="13"/>
      <c r="D166" s="13"/>
      <c r="E166" s="13"/>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c r="A167" s="13"/>
      <c r="B167" s="17"/>
      <c r="C167" s="13"/>
      <c r="D167" s="13"/>
      <c r="E167" s="13"/>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c r="A168" s="13"/>
      <c r="B168" s="17"/>
      <c r="C168" s="13"/>
      <c r="D168" s="13"/>
      <c r="E168" s="13"/>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c r="A169" s="13"/>
      <c r="B169" s="17"/>
      <c r="C169" s="13"/>
      <c r="D169" s="13"/>
      <c r="E169" s="13"/>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c r="A170" s="13"/>
      <c r="B170" s="17"/>
      <c r="C170" s="13"/>
      <c r="D170" s="13"/>
      <c r="E170" s="13"/>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c r="A171" s="13"/>
      <c r="B171" s="17"/>
      <c r="C171" s="13"/>
      <c r="D171" s="13"/>
      <c r="E171" s="13"/>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c r="A172" s="13"/>
      <c r="B172" s="17"/>
      <c r="C172" s="13"/>
      <c r="D172" s="13"/>
      <c r="E172" s="13"/>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c r="A173" s="13"/>
      <c r="B173" s="17"/>
      <c r="C173" s="13"/>
      <c r="D173" s="13"/>
      <c r="E173" s="13"/>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c r="A174" s="13"/>
      <c r="B174" s="17"/>
      <c r="C174" s="13"/>
      <c r="D174" s="13"/>
      <c r="E174" s="13"/>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c r="A175" s="13"/>
      <c r="B175" s="17"/>
      <c r="C175" s="13"/>
      <c r="D175" s="13"/>
      <c r="E175" s="13"/>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c r="A176" s="13"/>
      <c r="B176" s="17"/>
      <c r="C176" s="13"/>
      <c r="D176" s="13"/>
      <c r="E176" s="13"/>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c r="A177" s="13"/>
      <c r="B177" s="17"/>
      <c r="C177" s="13"/>
      <c r="D177" s="13"/>
      <c r="E177" s="13"/>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c r="A178" s="13"/>
      <c r="B178" s="17"/>
      <c r="C178" s="13"/>
      <c r="D178" s="13"/>
      <c r="E178" s="13"/>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c r="A179" s="13"/>
      <c r="B179" s="17"/>
      <c r="C179" s="13"/>
      <c r="D179" s="13"/>
      <c r="E179" s="13"/>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c r="A180" s="13"/>
      <c r="B180" s="17"/>
      <c r="C180" s="13"/>
      <c r="D180" s="13"/>
      <c r="E180" s="13"/>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c r="A181" s="13"/>
      <c r="B181" s="17"/>
      <c r="C181" s="13"/>
      <c r="D181" s="13"/>
      <c r="E181" s="13"/>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c r="A182" s="13"/>
      <c r="B182" s="17"/>
      <c r="C182" s="13"/>
      <c r="D182" s="13"/>
      <c r="E182" s="13"/>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c r="A183" s="13"/>
      <c r="B183" s="17"/>
      <c r="C183" s="13"/>
      <c r="D183" s="13"/>
      <c r="E183" s="13"/>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c r="A184" s="13"/>
      <c r="B184" s="17"/>
      <c r="C184" s="13"/>
      <c r="D184" s="13"/>
      <c r="E184" s="13"/>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c r="A185" s="13"/>
      <c r="B185" s="17"/>
      <c r="C185" s="13"/>
      <c r="D185" s="13"/>
      <c r="E185" s="13"/>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c r="A186" s="13"/>
      <c r="B186" s="17"/>
      <c r="C186" s="13"/>
      <c r="D186" s="13"/>
      <c r="E186" s="13"/>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c r="A187" s="13"/>
      <c r="B187" s="17"/>
      <c r="C187" s="13"/>
      <c r="D187" s="13"/>
      <c r="E187" s="13"/>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c r="A188" s="13"/>
      <c r="B188" s="17"/>
      <c r="C188" s="13"/>
      <c r="D188" s="13"/>
      <c r="E188" s="13"/>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c r="A189" s="13"/>
      <c r="B189" s="17"/>
      <c r="C189" s="13"/>
      <c r="D189" s="13"/>
      <c r="E189" s="13"/>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c r="A190" s="13"/>
      <c r="B190" s="17"/>
      <c r="C190" s="13"/>
      <c r="D190" s="13"/>
      <c r="E190" s="13"/>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c r="A191" s="13"/>
      <c r="B191" s="17"/>
      <c r="C191" s="13"/>
      <c r="D191" s="13"/>
      <c r="E191" s="13"/>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c r="A192" s="13"/>
      <c r="B192" s="17"/>
      <c r="C192" s="13"/>
      <c r="D192" s="13"/>
      <c r="E192" s="13"/>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c r="A193" s="13"/>
      <c r="B193" s="17"/>
      <c r="C193" s="13"/>
      <c r="D193" s="13"/>
      <c r="E193" s="13"/>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c r="A194" s="13"/>
      <c r="B194" s="17"/>
      <c r="C194" s="13"/>
      <c r="D194" s="13"/>
      <c r="E194" s="13"/>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c r="A195" s="13"/>
      <c r="B195" s="17"/>
      <c r="C195" s="13"/>
      <c r="D195" s="13"/>
      <c r="E195" s="13"/>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c r="A196" s="13"/>
      <c r="B196" s="17"/>
      <c r="C196" s="13"/>
      <c r="D196" s="13"/>
      <c r="E196" s="13"/>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c r="A197" s="13"/>
      <c r="B197" s="17"/>
      <c r="C197" s="13"/>
      <c r="D197" s="13"/>
      <c r="E197" s="13"/>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c r="A198" s="13"/>
      <c r="B198" s="17"/>
      <c r="C198" s="13"/>
      <c r="D198" s="13"/>
      <c r="E198" s="13"/>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c r="A199" s="13"/>
      <c r="B199" s="17"/>
      <c r="C199" s="13"/>
      <c r="D199" s="13"/>
      <c r="E199" s="13"/>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c r="A200" s="13"/>
      <c r="B200" s="17"/>
      <c r="C200" s="13"/>
      <c r="D200" s="13"/>
      <c r="E200" s="13"/>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c r="A201" s="13"/>
      <c r="B201" s="17"/>
      <c r="C201" s="13"/>
      <c r="D201" s="13"/>
      <c r="E201" s="13"/>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c r="A202" s="13"/>
      <c r="B202" s="17"/>
      <c r="C202" s="13"/>
      <c r="D202" s="13"/>
      <c r="E202" s="13"/>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c r="A203" s="13"/>
      <c r="B203" s="17"/>
      <c r="C203" s="13"/>
      <c r="D203" s="13"/>
      <c r="E203" s="13"/>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c r="A204" s="13"/>
      <c r="B204" s="17"/>
      <c r="C204" s="13"/>
      <c r="D204" s="13"/>
      <c r="E204" s="13"/>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c r="A205" s="13"/>
      <c r="B205" s="17"/>
      <c r="C205" s="13"/>
      <c r="D205" s="13"/>
      <c r="E205" s="13"/>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c r="A206" s="13"/>
      <c r="B206" s="17"/>
      <c r="C206" s="13"/>
      <c r="D206" s="13"/>
      <c r="E206" s="13"/>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c r="A207" s="13"/>
      <c r="B207" s="17"/>
      <c r="C207" s="13"/>
      <c r="D207" s="13"/>
      <c r="E207" s="13"/>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c r="A208" s="13"/>
      <c r="B208" s="17"/>
      <c r="C208" s="13"/>
      <c r="D208" s="13"/>
      <c r="E208" s="13"/>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c r="A209" s="13"/>
      <c r="B209" s="17"/>
      <c r="C209" s="13"/>
      <c r="D209" s="13"/>
      <c r="E209" s="13"/>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c r="A210" s="13"/>
      <c r="B210" s="17"/>
      <c r="C210" s="13"/>
      <c r="D210" s="13"/>
      <c r="E210" s="13"/>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c r="A211" s="13"/>
      <c r="B211" s="17"/>
      <c r="C211" s="13"/>
      <c r="D211" s="13"/>
      <c r="E211" s="13"/>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c r="A212" s="13"/>
      <c r="B212" s="17"/>
      <c r="C212" s="13"/>
      <c r="D212" s="13"/>
      <c r="E212" s="13"/>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c r="A213" s="13"/>
      <c r="B213" s="17"/>
      <c r="C213" s="13"/>
      <c r="D213" s="13"/>
      <c r="E213" s="13"/>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c r="A214" s="13"/>
      <c r="B214" s="17"/>
      <c r="C214" s="13"/>
      <c r="D214" s="13"/>
      <c r="E214" s="13"/>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c r="A215" s="13"/>
      <c r="B215" s="17"/>
      <c r="C215" s="13"/>
      <c r="D215" s="13"/>
      <c r="E215" s="13"/>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c r="A216" s="13"/>
      <c r="B216" s="17"/>
      <c r="C216" s="13"/>
      <c r="D216" s="13"/>
      <c r="E216" s="13"/>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c r="A217" s="13"/>
      <c r="B217" s="17"/>
      <c r="C217" s="13"/>
      <c r="D217" s="13"/>
      <c r="E217" s="13"/>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c r="A218" s="13"/>
      <c r="B218" s="17"/>
      <c r="C218" s="13"/>
      <c r="D218" s="13"/>
      <c r="E218" s="13"/>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c r="A219" s="13"/>
      <c r="B219" s="17"/>
      <c r="C219" s="13"/>
      <c r="D219" s="13"/>
      <c r="E219" s="13"/>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c r="A220" s="13"/>
      <c r="B220" s="17"/>
      <c r="C220" s="13"/>
      <c r="D220" s="13"/>
      <c r="E220" s="13"/>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c r="A221" s="13"/>
      <c r="B221" s="17"/>
      <c r="C221" s="13"/>
      <c r="D221" s="13"/>
      <c r="E221" s="13"/>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c r="A222" s="13"/>
      <c r="B222" s="17"/>
      <c r="C222" s="13"/>
      <c r="D222" s="13"/>
      <c r="E222" s="13"/>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c r="A223" s="13"/>
      <c r="B223" s="17"/>
      <c r="C223" s="13"/>
      <c r="D223" s="13"/>
      <c r="E223" s="13"/>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c r="A224" s="13"/>
      <c r="B224" s="17"/>
      <c r="C224" s="13"/>
      <c r="D224" s="13"/>
      <c r="E224" s="13"/>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c r="A225" s="13"/>
      <c r="B225" s="17"/>
      <c r="C225" s="13"/>
      <c r="D225" s="13"/>
      <c r="E225" s="13"/>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c r="A226" s="13"/>
      <c r="B226" s="17"/>
      <c r="C226" s="13"/>
      <c r="D226" s="13"/>
      <c r="E226" s="13"/>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c r="A227" s="13"/>
      <c r="B227" s="17"/>
      <c r="C227" s="13"/>
      <c r="D227" s="13"/>
      <c r="E227" s="13"/>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c r="A228" s="13"/>
      <c r="B228" s="17"/>
      <c r="C228" s="13"/>
      <c r="D228" s="13"/>
      <c r="E228" s="13"/>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c r="A229" s="13"/>
      <c r="B229" s="17"/>
      <c r="C229" s="13"/>
      <c r="D229" s="13"/>
      <c r="E229" s="13"/>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c r="A230" s="13"/>
      <c r="B230" s="17"/>
      <c r="C230" s="13"/>
      <c r="D230" s="13"/>
      <c r="E230" s="13"/>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c r="A231" s="13"/>
      <c r="B231" s="17"/>
      <c r="C231" s="13"/>
      <c r="D231" s="13"/>
      <c r="E231" s="13"/>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c r="A232" s="13"/>
      <c r="B232" s="17"/>
      <c r="C232" s="13"/>
      <c r="D232" s="13"/>
      <c r="E232" s="13"/>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c r="A233" s="13"/>
      <c r="B233" s="17"/>
      <c r="C233" s="13"/>
      <c r="D233" s="13"/>
      <c r="E233" s="13"/>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c r="A234" s="13"/>
      <c r="B234" s="17"/>
      <c r="C234" s="13"/>
      <c r="D234" s="13"/>
      <c r="E234" s="13"/>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c r="A235" s="13"/>
      <c r="B235" s="17"/>
      <c r="C235" s="13"/>
      <c r="D235" s="13"/>
      <c r="E235" s="13"/>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c r="A236" s="13"/>
      <c r="B236" s="17"/>
      <c r="C236" s="13"/>
      <c r="D236" s="13"/>
      <c r="E236" s="13"/>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c r="A237" s="13"/>
      <c r="B237" s="17"/>
      <c r="C237" s="13"/>
      <c r="D237" s="13"/>
      <c r="E237" s="13"/>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c r="A238" s="13"/>
      <c r="B238" s="17"/>
      <c r="C238" s="13"/>
      <c r="D238" s="13"/>
      <c r="E238" s="13"/>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c r="A239" s="13"/>
      <c r="B239" s="17"/>
      <c r="C239" s="13"/>
      <c r="D239" s="13"/>
      <c r="E239" s="13"/>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c r="A240" s="13"/>
      <c r="B240" s="17"/>
      <c r="C240" s="13"/>
      <c r="D240" s="13"/>
      <c r="E240" s="13"/>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c r="A241" s="13"/>
      <c r="B241" s="17"/>
      <c r="C241" s="13"/>
      <c r="D241" s="13"/>
      <c r="E241" s="13"/>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c r="A242" s="13"/>
      <c r="B242" s="17"/>
      <c r="C242" s="13"/>
      <c r="D242" s="13"/>
      <c r="E242" s="13"/>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c r="A243" s="13"/>
      <c r="B243" s="17"/>
      <c r="C243" s="13"/>
      <c r="D243" s="13"/>
      <c r="E243" s="13"/>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c r="A244" s="13"/>
      <c r="B244" s="17"/>
      <c r="C244" s="13"/>
      <c r="D244" s="13"/>
      <c r="E244" s="13"/>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c r="A245" s="13"/>
      <c r="B245" s="17"/>
      <c r="C245" s="13"/>
      <c r="D245" s="13"/>
      <c r="E245" s="13"/>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c r="A246" s="13"/>
      <c r="B246" s="17"/>
      <c r="C246" s="13"/>
      <c r="D246" s="13"/>
      <c r="E246" s="13"/>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c r="A247" s="13"/>
      <c r="B247" s="17"/>
      <c r="C247" s="13"/>
      <c r="D247" s="13"/>
      <c r="E247" s="13"/>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c r="A248" s="13"/>
      <c r="B248" s="17"/>
      <c r="C248" s="13"/>
      <c r="D248" s="13"/>
      <c r="E248" s="13"/>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c r="A249" s="13"/>
      <c r="B249" s="17"/>
      <c r="C249" s="13"/>
      <c r="D249" s="13"/>
      <c r="E249" s="13"/>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c r="A250" s="13"/>
      <c r="B250" s="17"/>
      <c r="C250" s="13"/>
      <c r="D250" s="13"/>
      <c r="E250" s="13"/>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c r="A251" s="13"/>
      <c r="B251" s="17"/>
      <c r="C251" s="13"/>
      <c r="D251" s="13"/>
      <c r="E251" s="13"/>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c r="A252" s="13"/>
      <c r="B252" s="17"/>
      <c r="C252" s="13"/>
      <c r="D252" s="13"/>
      <c r="E252" s="13"/>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c r="A253" s="13"/>
      <c r="B253" s="17"/>
      <c r="C253" s="13"/>
      <c r="D253" s="13"/>
      <c r="E253" s="13"/>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c r="A254" s="13"/>
      <c r="B254" s="17"/>
      <c r="C254" s="13"/>
      <c r="D254" s="13"/>
      <c r="E254" s="13"/>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c r="A255" s="13"/>
      <c r="B255" s="17"/>
      <c r="C255" s="13"/>
      <c r="D255" s="13"/>
      <c r="E255" s="13"/>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c r="A256" s="13"/>
      <c r="B256" s="17"/>
      <c r="C256" s="13"/>
      <c r="D256" s="13"/>
      <c r="E256" s="13"/>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c r="A257" s="13"/>
      <c r="B257" s="17"/>
      <c r="C257" s="13"/>
      <c r="D257" s="13"/>
      <c r="E257" s="13"/>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c r="A258" s="13"/>
      <c r="B258" s="17"/>
      <c r="C258" s="13"/>
      <c r="D258" s="13"/>
      <c r="E258" s="13"/>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c r="A259" s="13"/>
      <c r="B259" s="17"/>
      <c r="C259" s="13"/>
      <c r="D259" s="13"/>
      <c r="E259" s="13"/>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c r="A260" s="13"/>
      <c r="B260" s="17"/>
      <c r="C260" s="13"/>
      <c r="D260" s="13"/>
      <c r="E260" s="13"/>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c r="A261" s="13"/>
      <c r="B261" s="17"/>
      <c r="C261" s="13"/>
      <c r="D261" s="13"/>
      <c r="E261" s="13"/>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c r="A262" s="13"/>
      <c r="B262" s="17"/>
      <c r="C262" s="13"/>
      <c r="D262" s="13"/>
      <c r="E262" s="13"/>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c r="A263" s="13"/>
      <c r="B263" s="17"/>
      <c r="C263" s="13"/>
      <c r="D263" s="13"/>
      <c r="E263" s="13"/>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c r="A264" s="13"/>
      <c r="B264" s="17"/>
      <c r="C264" s="13"/>
      <c r="D264" s="13"/>
      <c r="E264" s="13"/>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c r="A265" s="13"/>
      <c r="B265" s="17"/>
      <c r="C265" s="13"/>
      <c r="D265" s="13"/>
      <c r="E265" s="13"/>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c r="A266" s="13"/>
      <c r="B266" s="17"/>
      <c r="C266" s="13"/>
      <c r="D266" s="13"/>
      <c r="E266" s="13"/>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c r="A267" s="13"/>
      <c r="B267" s="17"/>
      <c r="C267" s="13"/>
      <c r="D267" s="13"/>
      <c r="E267" s="13"/>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c r="A268" s="13"/>
      <c r="B268" s="17"/>
      <c r="C268" s="13"/>
      <c r="D268" s="13"/>
      <c r="E268" s="13"/>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c r="A269" s="13"/>
      <c r="B269" s="17"/>
      <c r="C269" s="13"/>
      <c r="D269" s="13"/>
      <c r="E269" s="13"/>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c r="A270" s="13"/>
      <c r="B270" s="17"/>
      <c r="C270" s="13"/>
      <c r="D270" s="13"/>
      <c r="E270" s="13"/>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c r="A271" s="13"/>
      <c r="B271" s="17"/>
      <c r="C271" s="13"/>
      <c r="D271" s="13"/>
      <c r="E271" s="13"/>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c r="A272" s="13"/>
      <c r="B272" s="17"/>
      <c r="C272" s="13"/>
      <c r="D272" s="13"/>
      <c r="E272" s="13"/>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c r="A273" s="13"/>
      <c r="B273" s="17"/>
      <c r="C273" s="13"/>
      <c r="D273" s="13"/>
      <c r="E273" s="13"/>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c r="A274" s="13"/>
      <c r="B274" s="17"/>
      <c r="C274" s="13"/>
      <c r="D274" s="13"/>
      <c r="E274" s="13"/>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c r="A275" s="13"/>
      <c r="B275" s="17"/>
      <c r="C275" s="13"/>
      <c r="D275" s="13"/>
      <c r="E275" s="13"/>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c r="A276" s="13"/>
      <c r="B276" s="17"/>
      <c r="C276" s="13"/>
      <c r="D276" s="13"/>
      <c r="E276" s="13"/>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c r="A277" s="13"/>
      <c r="B277" s="17"/>
      <c r="C277" s="13"/>
      <c r="D277" s="13"/>
      <c r="E277" s="13"/>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c r="A278" s="13"/>
      <c r="B278" s="17"/>
      <c r="C278" s="13"/>
      <c r="D278" s="13"/>
      <c r="E278" s="13"/>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c r="A279" s="13"/>
      <c r="B279" s="17"/>
      <c r="C279" s="13"/>
      <c r="D279" s="13"/>
      <c r="E279" s="13"/>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c r="A280" s="13"/>
      <c r="B280" s="17"/>
      <c r="C280" s="13"/>
      <c r="D280" s="13"/>
      <c r="E280" s="13"/>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c r="A281" s="13"/>
      <c r="B281" s="17"/>
      <c r="C281" s="13"/>
      <c r="D281" s="13"/>
      <c r="E281" s="13"/>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c r="A282" s="13"/>
      <c r="B282" s="17"/>
      <c r="C282" s="13"/>
      <c r="D282" s="13"/>
      <c r="E282" s="13"/>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c r="A283" s="13"/>
      <c r="B283" s="17"/>
      <c r="C283" s="13"/>
      <c r="D283" s="13"/>
      <c r="E283" s="13"/>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c r="A284" s="13"/>
      <c r="B284" s="17"/>
      <c r="C284" s="13"/>
      <c r="D284" s="13"/>
      <c r="E284" s="13"/>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c r="A285" s="13"/>
      <c r="B285" s="17"/>
      <c r="C285" s="13"/>
      <c r="D285" s="13"/>
      <c r="E285" s="13"/>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c r="A286" s="13"/>
      <c r="B286" s="17"/>
      <c r="C286" s="13"/>
      <c r="D286" s="13"/>
      <c r="E286" s="13"/>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c r="A287" s="13"/>
      <c r="B287" s="17"/>
      <c r="C287" s="13"/>
      <c r="D287" s="13"/>
      <c r="E287" s="13"/>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c r="A288" s="13"/>
      <c r="B288" s="17"/>
      <c r="C288" s="13"/>
      <c r="D288" s="13"/>
      <c r="E288" s="13"/>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c r="A289" s="13"/>
      <c r="B289" s="17"/>
      <c r="C289" s="13"/>
      <c r="D289" s="13"/>
      <c r="E289" s="13"/>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c r="A290" s="13"/>
      <c r="B290" s="17"/>
      <c r="C290" s="13"/>
      <c r="D290" s="13"/>
      <c r="E290" s="13"/>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c r="A291" s="13"/>
      <c r="B291" s="17"/>
      <c r="C291" s="13"/>
      <c r="D291" s="13"/>
      <c r="E291" s="13"/>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c r="A292" s="13"/>
      <c r="B292" s="17"/>
      <c r="C292" s="13"/>
      <c r="D292" s="13"/>
      <c r="E292" s="13"/>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c r="A293" s="13"/>
      <c r="B293" s="17"/>
      <c r="C293" s="13"/>
      <c r="D293" s="13"/>
      <c r="E293" s="13"/>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c r="A294" s="13"/>
      <c r="B294" s="17"/>
      <c r="C294" s="13"/>
      <c r="D294" s="13"/>
      <c r="E294" s="13"/>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c r="A295" s="13"/>
      <c r="B295" s="17"/>
      <c r="C295" s="13"/>
      <c r="D295" s="13"/>
      <c r="E295" s="13"/>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c r="A296" s="13"/>
      <c r="B296" s="17"/>
      <c r="C296" s="13"/>
      <c r="D296" s="13"/>
      <c r="E296" s="13"/>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c r="A297" s="13"/>
      <c r="B297" s="17"/>
      <c r="C297" s="13"/>
      <c r="D297" s="13"/>
      <c r="E297" s="13"/>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c r="A298" s="13"/>
      <c r="B298" s="17"/>
      <c r="C298" s="13"/>
      <c r="D298" s="13"/>
      <c r="E298" s="13"/>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c r="A299" s="13"/>
      <c r="B299" s="17"/>
      <c r="C299" s="13"/>
      <c r="D299" s="13"/>
      <c r="E299" s="13"/>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c r="A300" s="13"/>
      <c r="B300" s="17"/>
      <c r="C300" s="13"/>
      <c r="D300" s="13"/>
      <c r="E300" s="13"/>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c r="A301" s="13"/>
      <c r="B301" s="17"/>
      <c r="C301" s="13"/>
      <c r="D301" s="13"/>
      <c r="E301" s="13"/>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c r="A302" s="13"/>
      <c r="B302" s="17"/>
      <c r="C302" s="13"/>
      <c r="D302" s="13"/>
      <c r="E302" s="13"/>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c r="A303" s="13"/>
      <c r="B303" s="17"/>
      <c r="C303" s="13"/>
      <c r="D303" s="13"/>
      <c r="E303" s="13"/>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c r="A304" s="13"/>
      <c r="B304" s="17"/>
      <c r="C304" s="13"/>
      <c r="D304" s="13"/>
      <c r="E304" s="13"/>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c r="A305" s="13"/>
      <c r="B305" s="17"/>
      <c r="C305" s="13"/>
      <c r="D305" s="13"/>
      <c r="E305" s="13"/>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c r="A306" s="13"/>
      <c r="B306" s="17"/>
      <c r="C306" s="13"/>
      <c r="D306" s="13"/>
      <c r="E306" s="13"/>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c r="A307" s="13"/>
      <c r="B307" s="17"/>
      <c r="C307" s="13"/>
      <c r="D307" s="13"/>
      <c r="E307" s="13"/>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c r="A308" s="13"/>
      <c r="B308" s="17"/>
      <c r="C308" s="13"/>
      <c r="D308" s="13"/>
      <c r="E308" s="13"/>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c r="A309" s="13"/>
      <c r="B309" s="17"/>
      <c r="C309" s="13"/>
      <c r="D309" s="13"/>
      <c r="E309" s="13"/>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c r="A310" s="13"/>
      <c r="B310" s="17"/>
      <c r="C310" s="13"/>
      <c r="D310" s="13"/>
      <c r="E310" s="13"/>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c r="A311" s="13"/>
      <c r="B311" s="17"/>
      <c r="C311" s="13"/>
      <c r="D311" s="13"/>
      <c r="E311" s="13"/>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c r="A312" s="13"/>
      <c r="B312" s="17"/>
      <c r="C312" s="13"/>
      <c r="D312" s="13"/>
      <c r="E312" s="13"/>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c r="A313" s="13"/>
      <c r="B313" s="17"/>
      <c r="C313" s="13"/>
      <c r="D313" s="13"/>
      <c r="E313" s="13"/>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c r="A314" s="13"/>
      <c r="B314" s="17"/>
      <c r="C314" s="13"/>
      <c r="D314" s="13"/>
      <c r="E314" s="13"/>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c r="A315" s="13"/>
      <c r="B315" s="17"/>
      <c r="C315" s="13"/>
      <c r="D315" s="13"/>
      <c r="E315" s="13"/>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c r="A316" s="13"/>
      <c r="B316" s="17"/>
      <c r="C316" s="13"/>
      <c r="D316" s="13"/>
      <c r="E316" s="13"/>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c r="A317" s="13"/>
      <c r="B317" s="17"/>
      <c r="C317" s="13"/>
      <c r="D317" s="13"/>
      <c r="E317" s="13"/>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c r="A318" s="13"/>
      <c r="B318" s="17"/>
      <c r="C318" s="13"/>
      <c r="D318" s="13"/>
      <c r="E318" s="13"/>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c r="A319" s="13"/>
      <c r="B319" s="17"/>
      <c r="C319" s="13"/>
      <c r="D319" s="13"/>
      <c r="E319" s="13"/>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c r="A320" s="13"/>
      <c r="B320" s="17"/>
      <c r="C320" s="13"/>
      <c r="D320" s="13"/>
      <c r="E320" s="13"/>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c r="A321" s="13"/>
      <c r="B321" s="17"/>
      <c r="C321" s="13"/>
      <c r="D321" s="13"/>
      <c r="E321" s="13"/>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c r="A322" s="13"/>
      <c r="B322" s="17"/>
      <c r="C322" s="13"/>
      <c r="D322" s="13"/>
      <c r="E322" s="13"/>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c r="A323" s="13"/>
      <c r="B323" s="17"/>
      <c r="C323" s="13"/>
      <c r="D323" s="13"/>
      <c r="E323" s="13"/>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c r="A324" s="13"/>
      <c r="B324" s="17"/>
      <c r="C324" s="13"/>
      <c r="D324" s="13"/>
      <c r="E324" s="13"/>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c r="A325" s="13"/>
      <c r="B325" s="17"/>
      <c r="C325" s="13"/>
      <c r="D325" s="13"/>
      <c r="E325" s="13"/>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c r="A326" s="13"/>
      <c r="B326" s="17"/>
      <c r="C326" s="13"/>
      <c r="D326" s="13"/>
      <c r="E326" s="13"/>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c r="A327" s="13"/>
      <c r="B327" s="17"/>
      <c r="C327" s="13"/>
      <c r="D327" s="13"/>
      <c r="E327" s="13"/>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c r="A328" s="13"/>
      <c r="B328" s="17"/>
      <c r="C328" s="13"/>
      <c r="D328" s="13"/>
      <c r="E328" s="13"/>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c r="A329" s="13"/>
      <c r="B329" s="17"/>
      <c r="C329" s="13"/>
      <c r="D329" s="13"/>
      <c r="E329" s="13"/>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c r="A330" s="13"/>
      <c r="B330" s="17"/>
      <c r="C330" s="13"/>
      <c r="D330" s="13"/>
      <c r="E330" s="13"/>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c r="A331" s="13"/>
      <c r="B331" s="17"/>
      <c r="C331" s="13"/>
      <c r="D331" s="13"/>
      <c r="E331" s="13"/>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c r="A332" s="13"/>
      <c r="B332" s="17"/>
      <c r="C332" s="13"/>
      <c r="D332" s="13"/>
      <c r="E332" s="13"/>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c r="A333" s="13"/>
      <c r="B333" s="17"/>
      <c r="C333" s="13"/>
      <c r="D333" s="13"/>
      <c r="E333" s="13"/>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c r="A334" s="13"/>
      <c r="B334" s="17"/>
      <c r="C334" s="13"/>
      <c r="D334" s="13"/>
      <c r="E334" s="13"/>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c r="A335" s="13"/>
      <c r="B335" s="17"/>
      <c r="C335" s="13"/>
      <c r="D335" s="13"/>
      <c r="E335" s="13"/>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c r="A336" s="13"/>
      <c r="B336" s="17"/>
      <c r="C336" s="13"/>
      <c r="D336" s="13"/>
      <c r="E336" s="13"/>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c r="A337" s="13"/>
      <c r="B337" s="17"/>
      <c r="C337" s="13"/>
      <c r="D337" s="13"/>
      <c r="E337" s="13"/>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c r="A338" s="13"/>
      <c r="B338" s="17"/>
      <c r="C338" s="13"/>
      <c r="D338" s="13"/>
      <c r="E338" s="13"/>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c r="A339" s="13"/>
      <c r="B339" s="17"/>
      <c r="C339" s="13"/>
      <c r="D339" s="13"/>
      <c r="E339" s="13"/>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c r="A340" s="13"/>
      <c r="B340" s="17"/>
      <c r="C340" s="13"/>
      <c r="D340" s="13"/>
      <c r="E340" s="13"/>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c r="A341" s="13"/>
      <c r="B341" s="17"/>
      <c r="C341" s="13"/>
      <c r="D341" s="13"/>
      <c r="E341" s="13"/>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c r="A342" s="13"/>
      <c r="B342" s="17"/>
      <c r="C342" s="13"/>
      <c r="D342" s="13"/>
      <c r="E342" s="13"/>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c r="A343" s="13"/>
      <c r="B343" s="17"/>
      <c r="C343" s="13"/>
      <c r="D343" s="13"/>
      <c r="E343" s="13"/>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c r="A344" s="13"/>
      <c r="B344" s="17"/>
      <c r="C344" s="13"/>
      <c r="D344" s="13"/>
      <c r="E344" s="13"/>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c r="A345" s="13"/>
      <c r="B345" s="17"/>
      <c r="C345" s="13"/>
      <c r="D345" s="13"/>
      <c r="E345" s="13"/>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c r="A346" s="13"/>
      <c r="B346" s="17"/>
      <c r="C346" s="13"/>
      <c r="D346" s="13"/>
      <c r="E346" s="13"/>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c r="A347" s="13"/>
      <c r="B347" s="17"/>
      <c r="C347" s="13"/>
      <c r="D347" s="13"/>
      <c r="E347" s="13"/>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c r="A348" s="13"/>
      <c r="B348" s="17"/>
      <c r="C348" s="13"/>
      <c r="D348" s="13"/>
      <c r="E348" s="13"/>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c r="A349" s="13"/>
      <c r="B349" s="17"/>
      <c r="C349" s="13"/>
      <c r="D349" s="13"/>
      <c r="E349" s="13"/>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c r="A350" s="13"/>
      <c r="B350" s="17"/>
      <c r="C350" s="13"/>
      <c r="D350" s="13"/>
      <c r="E350" s="13"/>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c r="A351" s="13"/>
      <c r="B351" s="17"/>
      <c r="C351" s="13"/>
      <c r="D351" s="13"/>
      <c r="E351" s="13"/>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c r="A352" s="13"/>
      <c r="B352" s="17"/>
      <c r="C352" s="13"/>
      <c r="D352" s="13"/>
      <c r="E352" s="13"/>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c r="A353" s="13"/>
      <c r="B353" s="17"/>
      <c r="C353" s="13"/>
      <c r="D353" s="13"/>
      <c r="E353" s="13"/>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c r="A354" s="13"/>
      <c r="B354" s="17"/>
      <c r="C354" s="13"/>
      <c r="D354" s="13"/>
      <c r="E354" s="13"/>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c r="A355" s="13"/>
      <c r="B355" s="17"/>
      <c r="C355" s="13"/>
      <c r="D355" s="13"/>
      <c r="E355" s="13"/>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c r="A356" s="13"/>
      <c r="B356" s="17"/>
      <c r="C356" s="13"/>
      <c r="D356" s="13"/>
      <c r="E356" s="13"/>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c r="A357" s="13"/>
      <c r="B357" s="17"/>
      <c r="C357" s="13"/>
      <c r="D357" s="13"/>
      <c r="E357" s="13"/>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c r="A358" s="13"/>
      <c r="B358" s="17"/>
      <c r="C358" s="13"/>
      <c r="D358" s="13"/>
      <c r="E358" s="13"/>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c r="A359" s="13"/>
      <c r="B359" s="17"/>
      <c r="C359" s="13"/>
      <c r="D359" s="13"/>
      <c r="E359" s="13"/>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c r="A360" s="13"/>
      <c r="B360" s="17"/>
      <c r="C360" s="13"/>
      <c r="D360" s="13"/>
      <c r="E360" s="13"/>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c r="A361" s="13"/>
      <c r="B361" s="17"/>
      <c r="C361" s="13"/>
      <c r="D361" s="13"/>
      <c r="E361" s="13"/>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c r="A362" s="13"/>
      <c r="B362" s="17"/>
      <c r="C362" s="13"/>
      <c r="D362" s="13"/>
      <c r="E362" s="13"/>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c r="A363" s="13"/>
      <c r="B363" s="17"/>
      <c r="C363" s="13"/>
      <c r="D363" s="13"/>
      <c r="E363" s="13"/>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c r="A364" s="13"/>
      <c r="B364" s="17"/>
      <c r="C364" s="13"/>
      <c r="D364" s="13"/>
      <c r="E364" s="13"/>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c r="A365" s="13"/>
      <c r="B365" s="17"/>
      <c r="C365" s="13"/>
      <c r="D365" s="13"/>
      <c r="E365" s="13"/>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c r="A366" s="13"/>
      <c r="B366" s="17"/>
      <c r="C366" s="13"/>
      <c r="D366" s="13"/>
      <c r="E366" s="13"/>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c r="A367" s="13"/>
      <c r="B367" s="17"/>
      <c r="C367" s="13"/>
      <c r="D367" s="13"/>
      <c r="E367" s="13"/>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c r="A368" s="13"/>
      <c r="B368" s="17"/>
      <c r="C368" s="13"/>
      <c r="D368" s="13"/>
      <c r="E368" s="13"/>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c r="A369" s="13"/>
      <c r="B369" s="17"/>
      <c r="C369" s="13"/>
      <c r="D369" s="13"/>
      <c r="E369" s="13"/>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c r="A370" s="13"/>
      <c r="B370" s="17"/>
      <c r="C370" s="13"/>
      <c r="D370" s="13"/>
      <c r="E370" s="13"/>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c r="A371" s="13"/>
      <c r="B371" s="17"/>
      <c r="C371" s="13"/>
      <c r="D371" s="13"/>
      <c r="E371" s="13"/>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c r="A372" s="13"/>
      <c r="B372" s="17"/>
      <c r="C372" s="13"/>
      <c r="D372" s="13"/>
      <c r="E372" s="13"/>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c r="A373" s="13"/>
      <c r="B373" s="17"/>
      <c r="C373" s="13"/>
      <c r="D373" s="13"/>
      <c r="E373" s="13"/>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c r="A374" s="13"/>
      <c r="B374" s="17"/>
      <c r="C374" s="13"/>
      <c r="D374" s="13"/>
      <c r="E374" s="13"/>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c r="A375" s="13"/>
      <c r="B375" s="17"/>
      <c r="C375" s="13"/>
      <c r="D375" s="13"/>
      <c r="E375" s="13"/>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c r="A376" s="13"/>
      <c r="B376" s="17"/>
      <c r="C376" s="13"/>
      <c r="D376" s="13"/>
      <c r="E376" s="13"/>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c r="A377" s="13"/>
      <c r="B377" s="17"/>
      <c r="C377" s="13"/>
      <c r="D377" s="13"/>
      <c r="E377" s="13"/>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c r="A378" s="13"/>
      <c r="B378" s="17"/>
      <c r="C378" s="13"/>
      <c r="D378" s="13"/>
      <c r="E378" s="13"/>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c r="A379" s="13"/>
      <c r="B379" s="17"/>
      <c r="C379" s="13"/>
      <c r="D379" s="13"/>
      <c r="E379" s="13"/>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c r="A380" s="13"/>
      <c r="B380" s="17"/>
      <c r="C380" s="13"/>
      <c r="D380" s="13"/>
      <c r="E380" s="13"/>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c r="A381" s="13"/>
      <c r="B381" s="17"/>
      <c r="C381" s="13"/>
      <c r="D381" s="13"/>
      <c r="E381" s="13"/>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c r="A382" s="13"/>
      <c r="B382" s="17"/>
      <c r="C382" s="13"/>
      <c r="D382" s="13"/>
      <c r="E382" s="13"/>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c r="A383" s="13"/>
      <c r="B383" s="17"/>
      <c r="C383" s="13"/>
      <c r="D383" s="13"/>
      <c r="E383" s="13"/>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c r="A384" s="13"/>
      <c r="B384" s="17"/>
      <c r="C384" s="13"/>
      <c r="D384" s="13"/>
      <c r="E384" s="13"/>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c r="A385" s="13"/>
      <c r="B385" s="17"/>
      <c r="C385" s="13"/>
      <c r="D385" s="13"/>
      <c r="E385" s="13"/>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c r="A386" s="13"/>
      <c r="B386" s="17"/>
      <c r="C386" s="13"/>
      <c r="D386" s="13"/>
      <c r="E386" s="13"/>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c r="A387" s="13"/>
      <c r="B387" s="17"/>
      <c r="C387" s="13"/>
      <c r="D387" s="13"/>
      <c r="E387" s="13"/>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c r="A388" s="13"/>
      <c r="B388" s="17"/>
      <c r="C388" s="13"/>
      <c r="D388" s="13"/>
      <c r="E388" s="13"/>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c r="A389" s="13"/>
      <c r="B389" s="17"/>
      <c r="C389" s="13"/>
      <c r="D389" s="13"/>
      <c r="E389" s="13"/>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c r="A390" s="13"/>
      <c r="B390" s="17"/>
      <c r="C390" s="13"/>
      <c r="D390" s="13"/>
      <c r="E390" s="13"/>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c r="A391" s="13"/>
      <c r="B391" s="17"/>
      <c r="C391" s="13"/>
      <c r="D391" s="13"/>
      <c r="E391" s="13"/>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c r="A392" s="13"/>
      <c r="B392" s="17"/>
      <c r="C392" s="13"/>
      <c r="D392" s="13"/>
      <c r="E392" s="13"/>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c r="A393" s="13"/>
      <c r="B393" s="17"/>
      <c r="C393" s="13"/>
      <c r="D393" s="13"/>
      <c r="E393" s="13"/>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c r="A394" s="13"/>
      <c r="B394" s="17"/>
      <c r="C394" s="13"/>
      <c r="D394" s="13"/>
      <c r="E394" s="13"/>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c r="A395" s="13"/>
      <c r="B395" s="17"/>
      <c r="C395" s="13"/>
      <c r="D395" s="13"/>
      <c r="E395" s="13"/>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c r="A396" s="13"/>
      <c r="B396" s="17"/>
      <c r="C396" s="13"/>
      <c r="D396" s="13"/>
      <c r="E396" s="13"/>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c r="A397" s="13"/>
      <c r="B397" s="17"/>
      <c r="C397" s="13"/>
      <c r="D397" s="13"/>
      <c r="E397" s="13"/>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c r="A398" s="13"/>
      <c r="B398" s="17"/>
      <c r="C398" s="13"/>
      <c r="D398" s="13"/>
      <c r="E398" s="13"/>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c r="A399" s="13"/>
      <c r="B399" s="17"/>
      <c r="C399" s="13"/>
      <c r="D399" s="13"/>
      <c r="E399" s="13"/>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c r="A400" s="13"/>
      <c r="B400" s="17"/>
      <c r="C400" s="13"/>
      <c r="D400" s="13"/>
      <c r="E400" s="13"/>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c r="A401" s="13"/>
      <c r="B401" s="17"/>
      <c r="C401" s="13"/>
      <c r="D401" s="13"/>
      <c r="E401" s="13"/>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c r="A402" s="13"/>
      <c r="B402" s="17"/>
      <c r="C402" s="13"/>
      <c r="D402" s="13"/>
      <c r="E402" s="13"/>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c r="A403" s="13"/>
      <c r="B403" s="17"/>
      <c r="C403" s="13"/>
      <c r="D403" s="13"/>
      <c r="E403" s="13"/>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c r="A404" s="13"/>
      <c r="B404" s="17"/>
      <c r="C404" s="13"/>
      <c r="D404" s="13"/>
      <c r="E404" s="13"/>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c r="A405" s="13"/>
      <c r="B405" s="17"/>
      <c r="C405" s="13"/>
      <c r="D405" s="13"/>
      <c r="E405" s="13"/>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c r="A406" s="13"/>
      <c r="B406" s="17"/>
      <c r="C406" s="13"/>
      <c r="D406" s="13"/>
      <c r="E406" s="13"/>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c r="A407" s="13"/>
      <c r="B407" s="17"/>
      <c r="C407" s="13"/>
      <c r="D407" s="13"/>
      <c r="E407" s="13"/>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c r="A408" s="13"/>
      <c r="B408" s="17"/>
      <c r="C408" s="13"/>
      <c r="D408" s="13"/>
      <c r="E408" s="13"/>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c r="A409" s="13"/>
      <c r="B409" s="17"/>
      <c r="C409" s="13"/>
      <c r="D409" s="13"/>
      <c r="E409" s="13"/>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c r="A410" s="13"/>
      <c r="B410" s="17"/>
      <c r="C410" s="13"/>
      <c r="D410" s="13"/>
      <c r="E410" s="13"/>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c r="A411" s="13"/>
      <c r="B411" s="17"/>
      <c r="C411" s="13"/>
      <c r="D411" s="13"/>
      <c r="E411" s="13"/>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c r="A412" s="13"/>
      <c r="B412" s="17"/>
      <c r="C412" s="13"/>
      <c r="D412" s="13"/>
      <c r="E412" s="13"/>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c r="A413" s="13"/>
      <c r="B413" s="17"/>
      <c r="C413" s="13"/>
      <c r="D413" s="13"/>
      <c r="E413" s="13"/>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c r="A414" s="13"/>
      <c r="B414" s="17"/>
      <c r="C414" s="13"/>
      <c r="D414" s="13"/>
      <c r="E414" s="13"/>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c r="A415" s="13"/>
      <c r="B415" s="17"/>
      <c r="C415" s="13"/>
      <c r="D415" s="13"/>
      <c r="E415" s="13"/>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c r="A416" s="13"/>
      <c r="B416" s="17"/>
      <c r="C416" s="13"/>
      <c r="D416" s="13"/>
      <c r="E416" s="13"/>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c r="A417" s="13"/>
      <c r="B417" s="17"/>
      <c r="C417" s="13"/>
      <c r="D417" s="13"/>
      <c r="E417" s="13"/>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c r="A418" s="13"/>
      <c r="B418" s="17"/>
      <c r="C418" s="13"/>
      <c r="D418" s="13"/>
      <c r="E418" s="13"/>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c r="A419" s="13"/>
      <c r="B419" s="17"/>
      <c r="C419" s="13"/>
      <c r="D419" s="13"/>
      <c r="E419" s="13"/>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c r="A420" s="13"/>
      <c r="B420" s="17"/>
      <c r="C420" s="13"/>
      <c r="D420" s="13"/>
      <c r="E420" s="13"/>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c r="A421" s="13"/>
      <c r="B421" s="17"/>
      <c r="C421" s="13"/>
      <c r="D421" s="13"/>
      <c r="E421" s="13"/>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c r="A422" s="13"/>
      <c r="B422" s="17"/>
      <c r="C422" s="13"/>
      <c r="D422" s="13"/>
      <c r="E422" s="13"/>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c r="A423" s="13"/>
      <c r="B423" s="17"/>
      <c r="C423" s="13"/>
      <c r="D423" s="13"/>
      <c r="E423" s="13"/>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c r="A424" s="13"/>
      <c r="B424" s="17"/>
      <c r="C424" s="13"/>
      <c r="D424" s="13"/>
      <c r="E424" s="13"/>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c r="A425" s="13"/>
      <c r="B425" s="17"/>
      <c r="C425" s="13"/>
      <c r="D425" s="13"/>
      <c r="E425" s="13"/>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c r="A426" s="13"/>
      <c r="B426" s="17"/>
      <c r="C426" s="13"/>
      <c r="D426" s="13"/>
      <c r="E426" s="13"/>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c r="A427" s="13"/>
      <c r="B427" s="17"/>
      <c r="C427" s="13"/>
      <c r="D427" s="13"/>
      <c r="E427" s="13"/>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c r="A428" s="13"/>
      <c r="B428" s="17"/>
      <c r="C428" s="13"/>
      <c r="D428" s="13"/>
      <c r="E428" s="13"/>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c r="A429" s="13"/>
      <c r="B429" s="17"/>
      <c r="C429" s="13"/>
      <c r="D429" s="13"/>
      <c r="E429" s="13"/>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c r="A430" s="13"/>
      <c r="B430" s="17"/>
      <c r="C430" s="13"/>
      <c r="D430" s="13"/>
      <c r="E430" s="13"/>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c r="A431" s="13"/>
      <c r="B431" s="17"/>
      <c r="C431" s="13"/>
      <c r="D431" s="13"/>
      <c r="E431" s="13"/>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c r="A432" s="13"/>
      <c r="B432" s="17"/>
      <c r="C432" s="13"/>
      <c r="D432" s="13"/>
      <c r="E432" s="13"/>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c r="A433" s="13"/>
      <c r="B433" s="17"/>
      <c r="C433" s="13"/>
      <c r="D433" s="13"/>
      <c r="E433" s="13"/>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c r="A434" s="13"/>
      <c r="B434" s="17"/>
      <c r="C434" s="13"/>
      <c r="D434" s="13"/>
      <c r="E434" s="13"/>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c r="A435" s="13"/>
      <c r="B435" s="17"/>
      <c r="C435" s="13"/>
      <c r="D435" s="13"/>
      <c r="E435" s="13"/>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c r="A436" s="13"/>
      <c r="B436" s="17"/>
      <c r="C436" s="13"/>
      <c r="D436" s="13"/>
      <c r="E436" s="13"/>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c r="A437" s="13"/>
      <c r="B437" s="17"/>
      <c r="C437" s="13"/>
      <c r="D437" s="13"/>
      <c r="E437" s="13"/>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c r="A438" s="13"/>
      <c r="B438" s="17"/>
      <c r="C438" s="13"/>
      <c r="D438" s="13"/>
      <c r="E438" s="13"/>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c r="A439" s="13"/>
      <c r="B439" s="17"/>
      <c r="C439" s="13"/>
      <c r="D439" s="13"/>
      <c r="E439" s="13"/>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c r="A440" s="13"/>
      <c r="B440" s="17"/>
      <c r="C440" s="13"/>
      <c r="D440" s="13"/>
      <c r="E440" s="13"/>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c r="A441" s="13"/>
      <c r="B441" s="17"/>
      <c r="C441" s="13"/>
      <c r="D441" s="13"/>
      <c r="E441" s="13"/>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c r="A442" s="13"/>
      <c r="B442" s="17"/>
      <c r="C442" s="13"/>
      <c r="D442" s="13"/>
      <c r="E442" s="13"/>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c r="A443" s="13"/>
      <c r="B443" s="17"/>
      <c r="C443" s="13"/>
      <c r="D443" s="13"/>
      <c r="E443" s="13"/>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c r="A444" s="13"/>
      <c r="B444" s="17"/>
      <c r="C444" s="13"/>
      <c r="D444" s="13"/>
      <c r="E444" s="13"/>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c r="A445" s="13"/>
      <c r="B445" s="17"/>
      <c r="C445" s="13"/>
      <c r="D445" s="13"/>
      <c r="E445" s="13"/>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c r="A446" s="13"/>
      <c r="B446" s="17"/>
      <c r="C446" s="13"/>
      <c r="D446" s="13"/>
      <c r="E446" s="13"/>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c r="A447" s="13"/>
      <c r="B447" s="17"/>
      <c r="C447" s="13"/>
      <c r="D447" s="13"/>
      <c r="E447" s="13"/>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c r="A448" s="13"/>
      <c r="B448" s="17"/>
      <c r="C448" s="13"/>
      <c r="D448" s="13"/>
      <c r="E448" s="13"/>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c r="A449" s="13"/>
      <c r="B449" s="17"/>
      <c r="C449" s="13"/>
      <c r="D449" s="13"/>
      <c r="E449" s="13"/>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c r="A450" s="13"/>
      <c r="B450" s="17"/>
      <c r="C450" s="13"/>
      <c r="D450" s="13"/>
      <c r="E450" s="13"/>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c r="A451" s="13"/>
      <c r="B451" s="17"/>
      <c r="C451" s="13"/>
      <c r="D451" s="13"/>
      <c r="E451" s="13"/>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c r="A452" s="13"/>
      <c r="B452" s="17"/>
      <c r="C452" s="13"/>
      <c r="D452" s="13"/>
      <c r="E452" s="13"/>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c r="A453" s="13"/>
      <c r="B453" s="17"/>
      <c r="C453" s="13"/>
      <c r="D453" s="13"/>
      <c r="E453" s="13"/>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c r="A454" s="13"/>
      <c r="B454" s="17"/>
      <c r="C454" s="13"/>
      <c r="D454" s="13"/>
      <c r="E454" s="13"/>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c r="A455" s="13"/>
      <c r="B455" s="17"/>
      <c r="C455" s="13"/>
      <c r="D455" s="13"/>
      <c r="E455" s="13"/>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c r="A456" s="13"/>
      <c r="B456" s="17"/>
      <c r="C456" s="13"/>
      <c r="D456" s="13"/>
      <c r="E456" s="13"/>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c r="A457" s="13"/>
      <c r="B457" s="17"/>
      <c r="C457" s="13"/>
      <c r="D457" s="13"/>
      <c r="E457" s="13"/>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c r="A458" s="13"/>
      <c r="B458" s="17"/>
      <c r="C458" s="13"/>
      <c r="D458" s="13"/>
      <c r="E458" s="13"/>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c r="A459" s="13"/>
      <c r="B459" s="17"/>
      <c r="C459" s="13"/>
      <c r="D459" s="13"/>
      <c r="E459" s="13"/>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c r="A460" s="13"/>
      <c r="B460" s="17"/>
      <c r="C460" s="13"/>
      <c r="D460" s="13"/>
      <c r="E460" s="13"/>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c r="A461" s="13"/>
      <c r="B461" s="17"/>
      <c r="C461" s="13"/>
      <c r="D461" s="13"/>
      <c r="E461" s="13"/>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c r="A462" s="13"/>
      <c r="B462" s="17"/>
      <c r="C462" s="13"/>
      <c r="D462" s="13"/>
      <c r="E462" s="13"/>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c r="A463" s="13"/>
      <c r="B463" s="17"/>
      <c r="C463" s="13"/>
      <c r="D463" s="13"/>
      <c r="E463" s="13"/>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c r="A464" s="13"/>
      <c r="B464" s="17"/>
      <c r="C464" s="13"/>
      <c r="D464" s="13"/>
      <c r="E464" s="13"/>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c r="A465" s="13"/>
      <c r="B465" s="17"/>
      <c r="C465" s="13"/>
      <c r="D465" s="13"/>
      <c r="E465" s="13"/>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c r="A466" s="13"/>
      <c r="B466" s="17"/>
      <c r="C466" s="13"/>
      <c r="D466" s="13"/>
      <c r="E466" s="13"/>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c r="A467" s="13"/>
      <c r="B467" s="17"/>
      <c r="C467" s="13"/>
      <c r="D467" s="13"/>
      <c r="E467" s="13"/>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c r="A468" s="13"/>
      <c r="B468" s="17"/>
      <c r="C468" s="13"/>
      <c r="D468" s="13"/>
      <c r="E468" s="13"/>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c r="A469" s="13"/>
      <c r="B469" s="17"/>
      <c r="C469" s="13"/>
      <c r="D469" s="13"/>
      <c r="E469" s="13"/>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c r="A470" s="13"/>
      <c r="B470" s="17"/>
      <c r="C470" s="13"/>
      <c r="D470" s="13"/>
      <c r="E470" s="13"/>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c r="A471" s="13"/>
      <c r="B471" s="17"/>
      <c r="C471" s="13"/>
      <c r="D471" s="13"/>
      <c r="E471" s="13"/>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c r="A472" s="13"/>
      <c r="B472" s="17"/>
      <c r="C472" s="13"/>
      <c r="D472" s="13"/>
      <c r="E472" s="13"/>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c r="A473" s="13"/>
      <c r="B473" s="17"/>
      <c r="C473" s="13"/>
      <c r="D473" s="13"/>
      <c r="E473" s="13"/>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c r="A474" s="13"/>
      <c r="B474" s="17"/>
      <c r="C474" s="13"/>
      <c r="D474" s="13"/>
      <c r="E474" s="13"/>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c r="A475" s="13"/>
      <c r="B475" s="17"/>
      <c r="C475" s="13"/>
      <c r="D475" s="13"/>
      <c r="E475" s="13"/>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c r="A476" s="13"/>
      <c r="B476" s="17"/>
      <c r="C476" s="13"/>
      <c r="D476" s="13"/>
      <c r="E476" s="13"/>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c r="A477" s="13"/>
      <c r="B477" s="17"/>
      <c r="C477" s="13"/>
      <c r="D477" s="13"/>
      <c r="E477" s="13"/>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c r="A478" s="13"/>
      <c r="B478" s="17"/>
      <c r="C478" s="13"/>
      <c r="D478" s="13"/>
      <c r="E478" s="13"/>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c r="A479" s="13"/>
      <c r="B479" s="17"/>
      <c r="C479" s="13"/>
      <c r="D479" s="13"/>
      <c r="E479" s="13"/>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c r="A480" s="13"/>
      <c r="B480" s="17"/>
      <c r="C480" s="13"/>
      <c r="D480" s="13"/>
      <c r="E480" s="13"/>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c r="A481" s="13"/>
      <c r="B481" s="17"/>
      <c r="C481" s="13"/>
      <c r="D481" s="13"/>
      <c r="E481" s="13"/>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c r="A482" s="13"/>
      <c r="B482" s="17"/>
      <c r="C482" s="13"/>
      <c r="D482" s="13"/>
      <c r="E482" s="13"/>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c r="A483" s="13"/>
      <c r="B483" s="17"/>
      <c r="C483" s="13"/>
      <c r="D483" s="13"/>
      <c r="E483" s="13"/>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c r="A484" s="13"/>
      <c r="B484" s="17"/>
      <c r="C484" s="13"/>
      <c r="D484" s="13"/>
      <c r="E484" s="13"/>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c r="A485" s="13"/>
      <c r="B485" s="17"/>
      <c r="C485" s="13"/>
      <c r="D485" s="13"/>
      <c r="E485" s="13"/>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c r="A486" s="13"/>
      <c r="B486" s="17"/>
      <c r="C486" s="13"/>
      <c r="D486" s="13"/>
      <c r="E486" s="13"/>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c r="A487" s="13"/>
      <c r="B487" s="17"/>
      <c r="C487" s="13"/>
      <c r="D487" s="13"/>
      <c r="E487" s="13"/>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c r="A488" s="13"/>
      <c r="B488" s="17"/>
      <c r="C488" s="13"/>
      <c r="D488" s="13"/>
      <c r="E488" s="13"/>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c r="A489" s="13"/>
      <c r="B489" s="17"/>
      <c r="C489" s="13"/>
      <c r="D489" s="13"/>
      <c r="E489" s="13"/>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c r="A490" s="13"/>
      <c r="B490" s="17"/>
      <c r="C490" s="13"/>
      <c r="D490" s="13"/>
      <c r="E490" s="13"/>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c r="A491" s="13"/>
      <c r="B491" s="17"/>
      <c r="C491" s="13"/>
      <c r="D491" s="13"/>
      <c r="E491" s="13"/>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c r="A492" s="13"/>
      <c r="B492" s="17"/>
      <c r="C492" s="13"/>
      <c r="D492" s="13"/>
      <c r="E492" s="13"/>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c r="A493" s="13"/>
      <c r="B493" s="17"/>
      <c r="C493" s="13"/>
      <c r="D493" s="13"/>
      <c r="E493" s="13"/>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c r="A494" s="13"/>
      <c r="B494" s="17"/>
      <c r="C494" s="13"/>
      <c r="D494" s="13"/>
      <c r="E494" s="13"/>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c r="A495" s="13"/>
      <c r="B495" s="17"/>
      <c r="C495" s="13"/>
      <c r="D495" s="13"/>
      <c r="E495" s="13"/>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c r="A496" s="13"/>
      <c r="B496" s="17"/>
      <c r="C496" s="13"/>
      <c r="D496" s="13"/>
      <c r="E496" s="13"/>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c r="A497" s="13"/>
      <c r="B497" s="17"/>
      <c r="C497" s="13"/>
      <c r="D497" s="13"/>
      <c r="E497" s="13"/>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c r="A498" s="13"/>
      <c r="B498" s="17"/>
      <c r="C498" s="13"/>
      <c r="D498" s="13"/>
      <c r="E498" s="13"/>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c r="A499" s="13"/>
      <c r="B499" s="17"/>
      <c r="C499" s="13"/>
      <c r="D499" s="13"/>
      <c r="E499" s="13"/>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c r="A500" s="13"/>
      <c r="B500" s="17"/>
      <c r="C500" s="13"/>
      <c r="D500" s="13"/>
      <c r="E500" s="13"/>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c r="A501" s="13"/>
      <c r="B501" s="17"/>
      <c r="C501" s="13"/>
      <c r="D501" s="13"/>
      <c r="E501" s="13"/>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c r="A502" s="13"/>
      <c r="B502" s="17"/>
      <c r="C502" s="13"/>
      <c r="D502" s="13"/>
      <c r="E502" s="13"/>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c r="A503" s="13"/>
      <c r="B503" s="17"/>
      <c r="C503" s="13"/>
      <c r="D503" s="13"/>
      <c r="E503" s="13"/>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c r="A504" s="13"/>
      <c r="B504" s="17"/>
      <c r="C504" s="13"/>
      <c r="D504" s="13"/>
      <c r="E504" s="13"/>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c r="A505" s="13"/>
      <c r="B505" s="17"/>
      <c r="C505" s="13"/>
      <c r="D505" s="13"/>
      <c r="E505" s="13"/>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c r="A506" s="13"/>
      <c r="B506" s="17"/>
      <c r="C506" s="13"/>
      <c r="D506" s="13"/>
      <c r="E506" s="13"/>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c r="A507" s="13"/>
      <c r="B507" s="17"/>
      <c r="C507" s="13"/>
      <c r="D507" s="13"/>
      <c r="E507" s="13"/>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c r="A508" s="13"/>
      <c r="B508" s="17"/>
      <c r="C508" s="13"/>
      <c r="D508" s="13"/>
      <c r="E508" s="13"/>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c r="A509" s="13"/>
      <c r="B509" s="17"/>
      <c r="C509" s="13"/>
      <c r="D509" s="13"/>
      <c r="E509" s="13"/>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c r="A510" s="13"/>
      <c r="B510" s="17"/>
      <c r="C510" s="13"/>
      <c r="D510" s="13"/>
      <c r="E510" s="13"/>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c r="A511" s="13"/>
      <c r="B511" s="17"/>
      <c r="C511" s="13"/>
      <c r="D511" s="13"/>
      <c r="E511" s="13"/>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c r="A512" s="13"/>
      <c r="B512" s="17"/>
      <c r="C512" s="13"/>
      <c r="D512" s="13"/>
      <c r="E512" s="13"/>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c r="A513" s="13"/>
      <c r="B513" s="17"/>
      <c r="C513" s="13"/>
      <c r="D513" s="13"/>
      <c r="E513" s="13"/>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c r="A514" s="13"/>
      <c r="B514" s="17"/>
      <c r="C514" s="13"/>
      <c r="D514" s="13"/>
      <c r="E514" s="13"/>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c r="A515" s="13"/>
      <c r="B515" s="17"/>
      <c r="C515" s="13"/>
      <c r="D515" s="13"/>
      <c r="E515" s="13"/>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c r="A516" s="13"/>
      <c r="B516" s="17"/>
      <c r="C516" s="13"/>
      <c r="D516" s="13"/>
      <c r="E516" s="13"/>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c r="A517" s="13"/>
      <c r="B517" s="17"/>
      <c r="C517" s="13"/>
      <c r="D517" s="13"/>
      <c r="E517" s="13"/>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c r="A518" s="13"/>
      <c r="B518" s="17"/>
      <c r="C518" s="13"/>
      <c r="D518" s="13"/>
      <c r="E518" s="13"/>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c r="A519" s="13"/>
      <c r="B519" s="17"/>
      <c r="C519" s="13"/>
      <c r="D519" s="13"/>
      <c r="E519" s="13"/>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c r="A520" s="13"/>
      <c r="B520" s="17"/>
      <c r="C520" s="13"/>
      <c r="D520" s="13"/>
      <c r="E520" s="13"/>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c r="A521" s="13"/>
      <c r="B521" s="17"/>
      <c r="C521" s="13"/>
      <c r="D521" s="13"/>
      <c r="E521" s="13"/>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c r="A522" s="13"/>
      <c r="B522" s="17"/>
      <c r="C522" s="13"/>
      <c r="D522" s="13"/>
      <c r="E522" s="13"/>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c r="A523" s="13"/>
      <c r="B523" s="17"/>
      <c r="C523" s="13"/>
      <c r="D523" s="13"/>
      <c r="E523" s="13"/>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c r="A524" s="13"/>
      <c r="B524" s="17"/>
      <c r="C524" s="13"/>
      <c r="D524" s="13"/>
      <c r="E524" s="13"/>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c r="A525" s="13"/>
      <c r="B525" s="17"/>
      <c r="C525" s="13"/>
      <c r="D525" s="13"/>
      <c r="E525" s="13"/>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c r="A526" s="13"/>
      <c r="B526" s="17"/>
      <c r="C526" s="13"/>
      <c r="D526" s="13"/>
      <c r="E526" s="13"/>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c r="A527" s="13"/>
      <c r="B527" s="17"/>
      <c r="C527" s="13"/>
      <c r="D527" s="13"/>
      <c r="E527" s="13"/>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c r="A528" s="13"/>
      <c r="B528" s="17"/>
      <c r="C528" s="13"/>
      <c r="D528" s="13"/>
      <c r="E528" s="13"/>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c r="A529" s="13"/>
      <c r="B529" s="17"/>
      <c r="C529" s="13"/>
      <c r="D529" s="13"/>
      <c r="E529" s="13"/>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c r="A530" s="13"/>
      <c r="B530" s="17"/>
      <c r="C530" s="13"/>
      <c r="D530" s="13"/>
      <c r="E530" s="13"/>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c r="A531" s="13"/>
      <c r="B531" s="17"/>
      <c r="C531" s="13"/>
      <c r="D531" s="13"/>
      <c r="E531" s="13"/>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c r="A532" s="13"/>
      <c r="B532" s="17"/>
      <c r="C532" s="13"/>
      <c r="D532" s="13"/>
      <c r="E532" s="13"/>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c r="A533" s="13"/>
      <c r="B533" s="17"/>
      <c r="C533" s="13"/>
      <c r="D533" s="13"/>
      <c r="E533" s="13"/>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c r="A534" s="13"/>
      <c r="B534" s="17"/>
      <c r="C534" s="13"/>
      <c r="D534" s="13"/>
      <c r="E534" s="13"/>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c r="A535" s="13"/>
      <c r="B535" s="17"/>
      <c r="C535" s="13"/>
      <c r="D535" s="13"/>
      <c r="E535" s="13"/>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c r="A536" s="13"/>
      <c r="B536" s="17"/>
      <c r="C536" s="13"/>
      <c r="D536" s="13"/>
      <c r="E536" s="13"/>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c r="A537" s="13"/>
      <c r="B537" s="17"/>
      <c r="C537" s="13"/>
      <c r="D537" s="13"/>
      <c r="E537" s="13"/>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c r="A538" s="13"/>
      <c r="B538" s="17"/>
      <c r="C538" s="13"/>
      <c r="D538" s="13"/>
      <c r="E538" s="13"/>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c r="A539" s="13"/>
      <c r="B539" s="17"/>
      <c r="C539" s="13"/>
      <c r="D539" s="13"/>
      <c r="E539" s="13"/>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c r="A540" s="13"/>
      <c r="B540" s="17"/>
      <c r="C540" s="13"/>
      <c r="D540" s="13"/>
      <c r="E540" s="13"/>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c r="A541" s="13"/>
      <c r="B541" s="17"/>
      <c r="C541" s="13"/>
      <c r="D541" s="13"/>
      <c r="E541" s="13"/>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c r="A542" s="13"/>
      <c r="B542" s="17"/>
      <c r="C542" s="13"/>
      <c r="D542" s="13"/>
      <c r="E542" s="13"/>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c r="A543" s="13"/>
      <c r="B543" s="17"/>
      <c r="C543" s="13"/>
      <c r="D543" s="13"/>
      <c r="E543" s="13"/>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c r="A544" s="13"/>
      <c r="B544" s="17"/>
      <c r="C544" s="13"/>
      <c r="D544" s="13"/>
      <c r="E544" s="13"/>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c r="A545" s="13"/>
      <c r="B545" s="17"/>
      <c r="C545" s="13"/>
      <c r="D545" s="13"/>
      <c r="E545" s="13"/>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c r="A546" s="13"/>
      <c r="B546" s="17"/>
      <c r="C546" s="13"/>
      <c r="D546" s="13"/>
      <c r="E546" s="13"/>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c r="A547" s="13"/>
      <c r="B547" s="17"/>
      <c r="C547" s="13"/>
      <c r="D547" s="13"/>
      <c r="E547" s="13"/>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c r="A548" s="13"/>
      <c r="B548" s="17"/>
      <c r="C548" s="13"/>
      <c r="D548" s="13"/>
      <c r="E548" s="13"/>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c r="A549" s="13"/>
      <c r="B549" s="17"/>
      <c r="C549" s="13"/>
      <c r="D549" s="13"/>
      <c r="E549" s="13"/>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c r="A550" s="13"/>
      <c r="B550" s="17"/>
      <c r="C550" s="13"/>
      <c r="D550" s="13"/>
      <c r="E550" s="13"/>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c r="A551" s="13"/>
      <c r="B551" s="17"/>
      <c r="C551" s="13"/>
      <c r="D551" s="13"/>
      <c r="E551" s="13"/>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c r="A552" s="13"/>
      <c r="B552" s="17"/>
      <c r="C552" s="13"/>
      <c r="D552" s="13"/>
      <c r="E552" s="13"/>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c r="A553" s="13"/>
      <c r="B553" s="17"/>
      <c r="C553" s="13"/>
      <c r="D553" s="13"/>
      <c r="E553" s="13"/>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c r="A554" s="13"/>
      <c r="B554" s="17"/>
      <c r="C554" s="13"/>
      <c r="D554" s="13"/>
      <c r="E554" s="13"/>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c r="A555" s="13"/>
      <c r="B555" s="17"/>
      <c r="C555" s="13"/>
      <c r="D555" s="13"/>
      <c r="E555" s="13"/>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c r="A556" s="13"/>
      <c r="B556" s="17"/>
      <c r="C556" s="13"/>
      <c r="D556" s="13"/>
      <c r="E556" s="13"/>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c r="A557" s="13"/>
      <c r="B557" s="17"/>
      <c r="C557" s="13"/>
      <c r="D557" s="13"/>
      <c r="E557" s="13"/>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c r="A558" s="13"/>
      <c r="B558" s="17"/>
      <c r="C558" s="13"/>
      <c r="D558" s="13"/>
      <c r="E558" s="13"/>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c r="A559" s="13"/>
      <c r="B559" s="17"/>
      <c r="C559" s="13"/>
      <c r="D559" s="13"/>
      <c r="E559" s="13"/>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c r="A560" s="13"/>
      <c r="B560" s="17"/>
      <c r="C560" s="13"/>
      <c r="D560" s="13"/>
      <c r="E560" s="13"/>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c r="A561" s="13"/>
      <c r="B561" s="17"/>
      <c r="C561" s="13"/>
      <c r="D561" s="13"/>
      <c r="E561" s="13"/>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c r="A562" s="13"/>
      <c r="B562" s="17"/>
      <c r="C562" s="13"/>
      <c r="D562" s="13"/>
      <c r="E562" s="13"/>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c r="A563" s="13"/>
      <c r="B563" s="17"/>
      <c r="C563" s="13"/>
      <c r="D563" s="13"/>
      <c r="E563" s="13"/>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c r="A564" s="13"/>
      <c r="B564" s="17"/>
      <c r="C564" s="13"/>
      <c r="D564" s="13"/>
      <c r="E564" s="13"/>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c r="A565" s="13"/>
      <c r="B565" s="17"/>
      <c r="C565" s="13"/>
      <c r="D565" s="13"/>
      <c r="E565" s="13"/>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c r="A566" s="13"/>
      <c r="B566" s="17"/>
      <c r="C566" s="13"/>
      <c r="D566" s="13"/>
      <c r="E566" s="13"/>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c r="A567" s="13"/>
      <c r="B567" s="17"/>
      <c r="C567" s="13"/>
      <c r="D567" s="13"/>
      <c r="E567" s="13"/>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c r="A568" s="13"/>
      <c r="B568" s="17"/>
      <c r="C568" s="13"/>
      <c r="D568" s="13"/>
      <c r="E568" s="13"/>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c r="A569" s="13"/>
      <c r="B569" s="17"/>
      <c r="C569" s="13"/>
      <c r="D569" s="13"/>
      <c r="E569" s="13"/>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c r="A570" s="13"/>
      <c r="B570" s="17"/>
      <c r="C570" s="13"/>
      <c r="D570" s="13"/>
      <c r="E570" s="13"/>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c r="A571" s="13"/>
      <c r="B571" s="17"/>
      <c r="C571" s="13"/>
      <c r="D571" s="13"/>
      <c r="E571" s="13"/>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c r="A572" s="13"/>
      <c r="B572" s="17"/>
      <c r="C572" s="13"/>
      <c r="D572" s="13"/>
      <c r="E572" s="13"/>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c r="A573" s="13"/>
      <c r="B573" s="17"/>
      <c r="C573" s="13"/>
      <c r="D573" s="13"/>
      <c r="E573" s="13"/>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c r="A574" s="13"/>
      <c r="B574" s="17"/>
      <c r="C574" s="13"/>
      <c r="D574" s="13"/>
      <c r="E574" s="13"/>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c r="A575" s="13"/>
      <c r="B575" s="17"/>
      <c r="C575" s="13"/>
      <c r="D575" s="13"/>
      <c r="E575" s="13"/>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c r="A576" s="13"/>
      <c r="B576" s="17"/>
      <c r="C576" s="13"/>
      <c r="D576" s="13"/>
      <c r="E576" s="13"/>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c r="A577" s="13"/>
      <c r="B577" s="17"/>
      <c r="C577" s="13"/>
      <c r="D577" s="13"/>
      <c r="E577" s="13"/>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c r="A578" s="13"/>
      <c r="B578" s="17"/>
      <c r="C578" s="13"/>
      <c r="D578" s="13"/>
      <c r="E578" s="13"/>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c r="A579" s="13"/>
      <c r="B579" s="17"/>
      <c r="C579" s="13"/>
      <c r="D579" s="13"/>
      <c r="E579" s="13"/>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c r="A580" s="13"/>
      <c r="B580" s="17"/>
      <c r="C580" s="13"/>
      <c r="D580" s="13"/>
      <c r="E580" s="13"/>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c r="A581" s="13"/>
      <c r="B581" s="17"/>
      <c r="C581" s="13"/>
      <c r="D581" s="13"/>
      <c r="E581" s="13"/>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c r="A582" s="13"/>
      <c r="B582" s="17"/>
      <c r="C582" s="13"/>
      <c r="D582" s="13"/>
      <c r="E582" s="13"/>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c r="A583" s="13"/>
      <c r="B583" s="17"/>
      <c r="C583" s="13"/>
      <c r="D583" s="13"/>
      <c r="E583" s="13"/>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c r="A584" s="13"/>
      <c r="B584" s="17"/>
      <c r="C584" s="13"/>
      <c r="D584" s="13"/>
      <c r="E584" s="13"/>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c r="A585" s="13"/>
      <c r="B585" s="17"/>
      <c r="C585" s="13"/>
      <c r="D585" s="13"/>
      <c r="E585" s="13"/>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c r="A586" s="13"/>
      <c r="B586" s="17"/>
      <c r="C586" s="13"/>
      <c r="D586" s="13"/>
      <c r="E586" s="13"/>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c r="A587" s="13"/>
      <c r="B587" s="17"/>
      <c r="C587" s="13"/>
      <c r="D587" s="13"/>
      <c r="E587" s="13"/>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c r="A588" s="13"/>
      <c r="B588" s="17"/>
      <c r="C588" s="13"/>
      <c r="D588" s="13"/>
      <c r="E588" s="13"/>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c r="A589" s="13"/>
      <c r="B589" s="17"/>
      <c r="C589" s="13"/>
      <c r="D589" s="13"/>
      <c r="E589" s="13"/>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c r="A590" s="13"/>
      <c r="B590" s="17"/>
      <c r="C590" s="13"/>
      <c r="D590" s="13"/>
      <c r="E590" s="13"/>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c r="A591" s="13"/>
      <c r="B591" s="17"/>
      <c r="C591" s="13"/>
      <c r="D591" s="13"/>
      <c r="E591" s="13"/>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c r="A592" s="13"/>
      <c r="B592" s="17"/>
      <c r="C592" s="13"/>
      <c r="D592" s="13"/>
      <c r="E592" s="13"/>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c r="A593" s="13"/>
      <c r="B593" s="17"/>
      <c r="C593" s="13"/>
      <c r="D593" s="13"/>
      <c r="E593" s="13"/>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c r="A594" s="13"/>
      <c r="B594" s="17"/>
      <c r="C594" s="13"/>
      <c r="D594" s="13"/>
      <c r="E594" s="13"/>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c r="A595" s="13"/>
      <c r="B595" s="17"/>
      <c r="C595" s="13"/>
      <c r="D595" s="13"/>
      <c r="E595" s="13"/>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c r="A596" s="13"/>
      <c r="B596" s="17"/>
      <c r="C596" s="13"/>
      <c r="D596" s="13"/>
      <c r="E596" s="13"/>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c r="A597" s="13"/>
      <c r="B597" s="17"/>
      <c r="C597" s="13"/>
      <c r="D597" s="13"/>
      <c r="E597" s="13"/>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c r="A598" s="13"/>
      <c r="B598" s="17"/>
      <c r="C598" s="13"/>
      <c r="D598" s="13"/>
      <c r="E598" s="13"/>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c r="A599" s="13"/>
      <c r="B599" s="17"/>
      <c r="C599" s="13"/>
      <c r="D599" s="13"/>
      <c r="E599" s="13"/>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c r="A600" s="13"/>
      <c r="B600" s="17"/>
      <c r="C600" s="13"/>
      <c r="D600" s="13"/>
      <c r="E600" s="13"/>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c r="A601" s="13"/>
      <c r="B601" s="17"/>
      <c r="C601" s="13"/>
      <c r="D601" s="13"/>
      <c r="E601" s="13"/>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c r="A602" s="13"/>
      <c r="B602" s="17"/>
      <c r="C602" s="13"/>
      <c r="D602" s="13"/>
      <c r="E602" s="13"/>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c r="A603" s="13"/>
      <c r="B603" s="17"/>
      <c r="C603" s="13"/>
      <c r="D603" s="13"/>
      <c r="E603" s="13"/>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c r="A604" s="13"/>
      <c r="B604" s="17"/>
      <c r="C604" s="13"/>
      <c r="D604" s="13"/>
      <c r="E604" s="13"/>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c r="A605" s="13"/>
      <c r="B605" s="17"/>
      <c r="C605" s="13"/>
      <c r="D605" s="13"/>
      <c r="E605" s="13"/>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c r="A606" s="13"/>
      <c r="B606" s="17"/>
      <c r="C606" s="13"/>
      <c r="D606" s="13"/>
      <c r="E606" s="13"/>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c r="A607" s="13"/>
      <c r="B607" s="17"/>
      <c r="C607" s="13"/>
      <c r="D607" s="13"/>
      <c r="E607" s="13"/>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c r="A608" s="13"/>
      <c r="B608" s="17"/>
      <c r="C608" s="13"/>
      <c r="D608" s="13"/>
      <c r="E608" s="13"/>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c r="A609" s="13"/>
      <c r="B609" s="17"/>
      <c r="C609" s="13"/>
      <c r="D609" s="13"/>
      <c r="E609" s="13"/>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c r="A610" s="13"/>
      <c r="B610" s="17"/>
      <c r="C610" s="13"/>
      <c r="D610" s="13"/>
      <c r="E610" s="13"/>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c r="A611" s="13"/>
      <c r="B611" s="17"/>
      <c r="C611" s="13"/>
      <c r="D611" s="13"/>
      <c r="E611" s="13"/>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c r="A612" s="13"/>
      <c r="B612" s="17"/>
      <c r="C612" s="13"/>
      <c r="D612" s="13"/>
      <c r="E612" s="13"/>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c r="A613" s="13"/>
      <c r="B613" s="17"/>
      <c r="C613" s="13"/>
      <c r="D613" s="13"/>
      <c r="E613" s="13"/>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c r="A614" s="13"/>
      <c r="B614" s="17"/>
      <c r="C614" s="13"/>
      <c r="D614" s="13"/>
      <c r="E614" s="13"/>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c r="A615" s="13"/>
      <c r="B615" s="17"/>
      <c r="C615" s="13"/>
      <c r="D615" s="13"/>
      <c r="E615" s="13"/>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c r="A616" s="13"/>
      <c r="B616" s="17"/>
      <c r="C616" s="13"/>
      <c r="D616" s="13"/>
      <c r="E616" s="13"/>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c r="A617" s="13"/>
      <c r="B617" s="17"/>
      <c r="C617" s="13"/>
      <c r="D617" s="13"/>
      <c r="E617" s="13"/>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c r="A618" s="13"/>
      <c r="B618" s="17"/>
      <c r="C618" s="13"/>
      <c r="D618" s="13"/>
      <c r="E618" s="13"/>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c r="A619" s="13"/>
      <c r="B619" s="17"/>
      <c r="C619" s="13"/>
      <c r="D619" s="13"/>
      <c r="E619" s="13"/>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c r="A620" s="13"/>
      <c r="B620" s="17"/>
      <c r="C620" s="13"/>
      <c r="D620" s="13"/>
      <c r="E620" s="13"/>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c r="A621" s="13"/>
      <c r="B621" s="17"/>
      <c r="C621" s="13"/>
      <c r="D621" s="13"/>
      <c r="E621" s="13"/>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c r="A622" s="13"/>
      <c r="B622" s="17"/>
      <c r="C622" s="13"/>
      <c r="D622" s="13"/>
      <c r="E622" s="13"/>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c r="A623" s="13"/>
      <c r="B623" s="17"/>
      <c r="C623" s="13"/>
      <c r="D623" s="13"/>
      <c r="E623" s="13"/>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c r="A624" s="13"/>
      <c r="B624" s="17"/>
      <c r="C624" s="13"/>
      <c r="D624" s="13"/>
      <c r="E624" s="13"/>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c r="A625" s="13"/>
      <c r="B625" s="17"/>
      <c r="C625" s="13"/>
      <c r="D625" s="13"/>
      <c r="E625" s="13"/>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c r="A626" s="13"/>
      <c r="B626" s="17"/>
      <c r="C626" s="13"/>
      <c r="D626" s="13"/>
      <c r="E626" s="13"/>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c r="A627" s="13"/>
      <c r="B627" s="17"/>
      <c r="C627" s="13"/>
      <c r="D627" s="13"/>
      <c r="E627" s="13"/>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c r="A628" s="13"/>
      <c r="B628" s="17"/>
      <c r="C628" s="13"/>
      <c r="D628" s="13"/>
      <c r="E628" s="13"/>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c r="A629" s="13"/>
      <c r="B629" s="17"/>
      <c r="C629" s="13"/>
      <c r="D629" s="13"/>
      <c r="E629" s="13"/>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c r="A630" s="13"/>
      <c r="B630" s="17"/>
      <c r="C630" s="13"/>
      <c r="D630" s="13"/>
      <c r="E630" s="13"/>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c r="A631" s="13"/>
      <c r="B631" s="17"/>
      <c r="C631" s="13"/>
      <c r="D631" s="13"/>
      <c r="E631" s="13"/>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c r="A632" s="13"/>
      <c r="B632" s="17"/>
      <c r="C632" s="13"/>
      <c r="D632" s="13"/>
      <c r="E632" s="13"/>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c r="A633" s="13"/>
      <c r="B633" s="17"/>
      <c r="C633" s="13"/>
      <c r="D633" s="13"/>
      <c r="E633" s="13"/>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c r="A634" s="13"/>
      <c r="B634" s="17"/>
      <c r="C634" s="13"/>
      <c r="D634" s="13"/>
      <c r="E634" s="13"/>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c r="A635" s="13"/>
      <c r="B635" s="17"/>
      <c r="C635" s="13"/>
      <c r="D635" s="13"/>
      <c r="E635" s="13"/>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c r="A636" s="13"/>
      <c r="B636" s="17"/>
      <c r="C636" s="13"/>
      <c r="D636" s="13"/>
      <c r="E636" s="13"/>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c r="A637" s="13"/>
      <c r="B637" s="17"/>
      <c r="C637" s="13"/>
      <c r="D637" s="13"/>
      <c r="E637" s="13"/>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c r="A638" s="13"/>
      <c r="B638" s="17"/>
      <c r="C638" s="13"/>
      <c r="D638" s="13"/>
      <c r="E638" s="13"/>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c r="A639" s="13"/>
      <c r="B639" s="17"/>
      <c r="C639" s="13"/>
      <c r="D639" s="13"/>
      <c r="E639" s="13"/>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c r="A640" s="13"/>
      <c r="B640" s="17"/>
      <c r="C640" s="13"/>
      <c r="D640" s="13"/>
      <c r="E640" s="13"/>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c r="A641" s="13"/>
      <c r="B641" s="17"/>
      <c r="C641" s="13"/>
      <c r="D641" s="13"/>
      <c r="E641" s="13"/>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c r="A642" s="13"/>
      <c r="B642" s="17"/>
      <c r="C642" s="13"/>
      <c r="D642" s="13"/>
      <c r="E642" s="13"/>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c r="A643" s="13"/>
      <c r="B643" s="17"/>
      <c r="C643" s="13"/>
      <c r="D643" s="13"/>
      <c r="E643" s="13"/>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c r="A644" s="13"/>
      <c r="B644" s="17"/>
      <c r="C644" s="13"/>
      <c r="D644" s="13"/>
      <c r="E644" s="13"/>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c r="A645" s="13"/>
      <c r="B645" s="17"/>
      <c r="C645" s="13"/>
      <c r="D645" s="13"/>
      <c r="E645" s="13"/>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c r="A646" s="13"/>
      <c r="B646" s="17"/>
      <c r="C646" s="13"/>
      <c r="D646" s="13"/>
      <c r="E646" s="13"/>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c r="A647" s="13"/>
      <c r="B647" s="17"/>
      <c r="C647" s="13"/>
      <c r="D647" s="13"/>
      <c r="E647" s="13"/>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c r="A648" s="13"/>
      <c r="B648" s="17"/>
      <c r="C648" s="13"/>
      <c r="D648" s="13"/>
      <c r="E648" s="13"/>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c r="A649" s="13"/>
      <c r="B649" s="17"/>
      <c r="C649" s="13"/>
      <c r="D649" s="13"/>
      <c r="E649" s="13"/>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c r="A650" s="13"/>
      <c r="B650" s="17"/>
      <c r="C650" s="13"/>
      <c r="D650" s="13"/>
      <c r="E650" s="13"/>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c r="A651" s="13"/>
      <c r="B651" s="17"/>
      <c r="C651" s="13"/>
      <c r="D651" s="13"/>
      <c r="E651" s="13"/>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c r="A652" s="13"/>
      <c r="B652" s="17"/>
      <c r="C652" s="13"/>
      <c r="D652" s="13"/>
      <c r="E652" s="13"/>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c r="A653" s="13"/>
      <c r="B653" s="17"/>
      <c r="C653" s="13"/>
      <c r="D653" s="13"/>
      <c r="E653" s="13"/>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c r="A654" s="13"/>
      <c r="B654" s="17"/>
      <c r="C654" s="13"/>
      <c r="D654" s="13"/>
      <c r="E654" s="13"/>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c r="A655" s="13"/>
      <c r="B655" s="17"/>
      <c r="C655" s="13"/>
      <c r="D655" s="13"/>
      <c r="E655" s="13"/>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c r="A656" s="13"/>
      <c r="B656" s="17"/>
      <c r="C656" s="13"/>
      <c r="D656" s="13"/>
      <c r="E656" s="13"/>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c r="A657" s="13"/>
      <c r="B657" s="17"/>
      <c r="C657" s="13"/>
      <c r="D657" s="13"/>
      <c r="E657" s="13"/>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c r="A658" s="13"/>
      <c r="B658" s="17"/>
      <c r="C658" s="13"/>
      <c r="D658" s="13"/>
      <c r="E658" s="13"/>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c r="A659" s="13"/>
      <c r="B659" s="17"/>
      <c r="C659" s="13"/>
      <c r="D659" s="13"/>
      <c r="E659" s="13"/>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c r="A660" s="13"/>
      <c r="B660" s="17"/>
      <c r="C660" s="13"/>
      <c r="D660" s="13"/>
      <c r="E660" s="13"/>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c r="A661" s="13"/>
      <c r="B661" s="17"/>
      <c r="C661" s="13"/>
      <c r="D661" s="13"/>
      <c r="E661" s="13"/>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c r="A662" s="13"/>
      <c r="B662" s="17"/>
      <c r="C662" s="13"/>
      <c r="D662" s="13"/>
      <c r="E662" s="13"/>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c r="A663" s="13"/>
      <c r="B663" s="17"/>
      <c r="C663" s="13"/>
      <c r="D663" s="13"/>
      <c r="E663" s="13"/>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c r="A664" s="13"/>
      <c r="B664" s="17"/>
      <c r="C664" s="13"/>
      <c r="D664" s="13"/>
      <c r="E664" s="13"/>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c r="A665" s="13"/>
      <c r="B665" s="17"/>
      <c r="C665" s="13"/>
      <c r="D665" s="13"/>
      <c r="E665" s="13"/>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c r="A666" s="13"/>
      <c r="B666" s="17"/>
      <c r="C666" s="13"/>
      <c r="D666" s="13"/>
      <c r="E666" s="13"/>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c r="A667" s="13"/>
      <c r="B667" s="17"/>
      <c r="C667" s="13"/>
      <c r="D667" s="13"/>
      <c r="E667" s="13"/>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c r="A668" s="13"/>
      <c r="B668" s="17"/>
      <c r="C668" s="13"/>
      <c r="D668" s="13"/>
      <c r="E668" s="13"/>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c r="A669" s="13"/>
      <c r="B669" s="17"/>
      <c r="C669" s="13"/>
      <c r="D669" s="13"/>
      <c r="E669" s="13"/>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c r="A670" s="13"/>
      <c r="B670" s="17"/>
      <c r="C670" s="13"/>
      <c r="D670" s="13"/>
      <c r="E670" s="13"/>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c r="A671" s="13"/>
      <c r="B671" s="17"/>
      <c r="C671" s="13"/>
      <c r="D671" s="13"/>
      <c r="E671" s="13"/>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c r="A672" s="13"/>
      <c r="B672" s="17"/>
      <c r="C672" s="13"/>
      <c r="D672" s="13"/>
      <c r="E672" s="13"/>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c r="A673" s="13"/>
      <c r="B673" s="17"/>
      <c r="C673" s="13"/>
      <c r="D673" s="13"/>
      <c r="E673" s="13"/>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c r="A674" s="13"/>
      <c r="B674" s="17"/>
      <c r="C674" s="13"/>
      <c r="D674" s="13"/>
      <c r="E674" s="13"/>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c r="A675" s="13"/>
      <c r="B675" s="17"/>
      <c r="C675" s="13"/>
      <c r="D675" s="13"/>
      <c r="E675" s="13"/>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c r="A676" s="13"/>
      <c r="B676" s="17"/>
      <c r="C676" s="13"/>
      <c r="D676" s="13"/>
      <c r="E676" s="13"/>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c r="A677" s="13"/>
      <c r="B677" s="17"/>
      <c r="C677" s="13"/>
      <c r="D677" s="13"/>
      <c r="E677" s="13"/>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c r="A678" s="13"/>
      <c r="B678" s="17"/>
      <c r="C678" s="13"/>
      <c r="D678" s="13"/>
      <c r="E678" s="13"/>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c r="A679" s="13"/>
      <c r="B679" s="17"/>
      <c r="C679" s="13"/>
      <c r="D679" s="13"/>
      <c r="E679" s="13"/>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c r="A680" s="13"/>
      <c r="B680" s="17"/>
      <c r="C680" s="13"/>
      <c r="D680" s="13"/>
      <c r="E680" s="13"/>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c r="A681" s="13"/>
      <c r="B681" s="17"/>
      <c r="C681" s="13"/>
      <c r="D681" s="13"/>
      <c r="E681" s="13"/>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c r="A682" s="13"/>
      <c r="B682" s="17"/>
      <c r="C682" s="13"/>
      <c r="D682" s="13"/>
      <c r="E682" s="13"/>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c r="A683" s="13"/>
      <c r="B683" s="17"/>
      <c r="C683" s="13"/>
      <c r="D683" s="13"/>
      <c r="E683" s="13"/>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c r="A684" s="13"/>
      <c r="B684" s="17"/>
      <c r="C684" s="13"/>
      <c r="D684" s="13"/>
      <c r="E684" s="13"/>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c r="A685" s="13"/>
      <c r="B685" s="17"/>
      <c r="C685" s="13"/>
      <c r="D685" s="13"/>
      <c r="E685" s="13"/>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c r="A686" s="13"/>
      <c r="B686" s="17"/>
      <c r="C686" s="13"/>
      <c r="D686" s="13"/>
      <c r="E686" s="13"/>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c r="A687" s="13"/>
      <c r="B687" s="17"/>
      <c r="C687" s="13"/>
      <c r="D687" s="13"/>
      <c r="E687" s="13"/>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c r="A688" s="13"/>
      <c r="B688" s="17"/>
      <c r="C688" s="13"/>
      <c r="D688" s="13"/>
      <c r="E688" s="13"/>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c r="A689" s="13"/>
      <c r="B689" s="17"/>
      <c r="C689" s="13"/>
      <c r="D689" s="13"/>
      <c r="E689" s="13"/>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c r="A690" s="13"/>
      <c r="B690" s="17"/>
      <c r="C690" s="13"/>
      <c r="D690" s="13"/>
      <c r="E690" s="13"/>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c r="A691" s="13"/>
      <c r="B691" s="17"/>
      <c r="C691" s="13"/>
      <c r="D691" s="13"/>
      <c r="E691" s="13"/>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c r="A692" s="13"/>
      <c r="B692" s="17"/>
      <c r="C692" s="13"/>
      <c r="D692" s="13"/>
      <c r="E692" s="13"/>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c r="A693" s="13"/>
      <c r="B693" s="17"/>
      <c r="C693" s="13"/>
      <c r="D693" s="13"/>
      <c r="E693" s="13"/>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c r="A694" s="13"/>
      <c r="B694" s="17"/>
      <c r="C694" s="13"/>
      <c r="D694" s="13"/>
      <c r="E694" s="13"/>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c r="A695" s="13"/>
      <c r="B695" s="17"/>
      <c r="C695" s="13"/>
      <c r="D695" s="13"/>
      <c r="E695" s="13"/>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c r="A696" s="13"/>
      <c r="B696" s="17"/>
      <c r="C696" s="13"/>
      <c r="D696" s="13"/>
      <c r="E696" s="13"/>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c r="A697" s="13"/>
      <c r="B697" s="17"/>
      <c r="C697" s="13"/>
      <c r="D697" s="13"/>
      <c r="E697" s="13"/>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c r="A698" s="13"/>
      <c r="B698" s="17"/>
      <c r="C698" s="13"/>
      <c r="D698" s="13"/>
      <c r="E698" s="13"/>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c r="A699" s="13"/>
      <c r="B699" s="17"/>
      <c r="C699" s="13"/>
      <c r="D699" s="13"/>
      <c r="E699" s="13"/>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c r="A700" s="13"/>
      <c r="B700" s="17"/>
      <c r="C700" s="13"/>
      <c r="D700" s="13"/>
      <c r="E700" s="13"/>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c r="A701" s="13"/>
      <c r="B701" s="17"/>
      <c r="C701" s="13"/>
      <c r="D701" s="13"/>
      <c r="E701" s="13"/>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c r="A702" s="13"/>
      <c r="B702" s="17"/>
      <c r="C702" s="13"/>
      <c r="D702" s="13"/>
      <c r="E702" s="13"/>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c r="A703" s="13"/>
      <c r="B703" s="17"/>
      <c r="C703" s="13"/>
      <c r="D703" s="13"/>
      <c r="E703" s="13"/>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c r="A704" s="13"/>
      <c r="B704" s="17"/>
      <c r="C704" s="13"/>
      <c r="D704" s="13"/>
      <c r="E704" s="13"/>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c r="A705" s="13"/>
      <c r="B705" s="17"/>
      <c r="C705" s="13"/>
      <c r="D705" s="13"/>
      <c r="E705" s="13"/>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c r="A706" s="13"/>
      <c r="B706" s="17"/>
      <c r="C706" s="13"/>
      <c r="D706" s="13"/>
      <c r="E706" s="13"/>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c r="A707" s="13"/>
      <c r="B707" s="17"/>
      <c r="C707" s="13"/>
      <c r="D707" s="13"/>
      <c r="E707" s="13"/>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c r="A708" s="13"/>
      <c r="B708" s="17"/>
      <c r="C708" s="13"/>
      <c r="D708" s="13"/>
      <c r="E708" s="13"/>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c r="A709" s="13"/>
      <c r="B709" s="17"/>
      <c r="C709" s="13"/>
      <c r="D709" s="13"/>
      <c r="E709" s="13"/>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c r="A710" s="13"/>
      <c r="B710" s="17"/>
      <c r="C710" s="13"/>
      <c r="D710" s="13"/>
      <c r="E710" s="13"/>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c r="A711" s="13"/>
      <c r="B711" s="17"/>
      <c r="C711" s="13"/>
      <c r="D711" s="13"/>
      <c r="E711" s="13"/>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c r="A712" s="13"/>
      <c r="B712" s="17"/>
      <c r="C712" s="13"/>
      <c r="D712" s="13"/>
      <c r="E712" s="13"/>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c r="A713" s="13"/>
      <c r="B713" s="17"/>
      <c r="C713" s="13"/>
      <c r="D713" s="13"/>
      <c r="E713" s="13"/>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c r="A714" s="13"/>
      <c r="B714" s="17"/>
      <c r="C714" s="13"/>
      <c r="D714" s="13"/>
      <c r="E714" s="13"/>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c r="A715" s="13"/>
      <c r="B715" s="17"/>
      <c r="C715" s="13"/>
      <c r="D715" s="13"/>
      <c r="E715" s="13"/>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c r="A716" s="13"/>
      <c r="B716" s="17"/>
      <c r="C716" s="13"/>
      <c r="D716" s="13"/>
      <c r="E716" s="13"/>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c r="A717" s="13"/>
      <c r="B717" s="17"/>
      <c r="C717" s="13"/>
      <c r="D717" s="13"/>
      <c r="E717" s="13"/>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c r="A718" s="13"/>
      <c r="B718" s="17"/>
      <c r="C718" s="13"/>
      <c r="D718" s="13"/>
      <c r="E718" s="13"/>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c r="A719" s="13"/>
      <c r="B719" s="17"/>
      <c r="C719" s="13"/>
      <c r="D719" s="13"/>
      <c r="E719" s="13"/>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c r="A720" s="13"/>
      <c r="B720" s="17"/>
      <c r="C720" s="13"/>
      <c r="D720" s="13"/>
      <c r="E720" s="13"/>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c r="A721" s="13"/>
      <c r="B721" s="17"/>
      <c r="C721" s="13"/>
      <c r="D721" s="13"/>
      <c r="E721" s="13"/>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c r="A722" s="13"/>
      <c r="B722" s="17"/>
      <c r="C722" s="13"/>
      <c r="D722" s="13"/>
      <c r="E722" s="13"/>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c r="A723" s="13"/>
      <c r="B723" s="17"/>
      <c r="C723" s="13"/>
      <c r="D723" s="13"/>
      <c r="E723" s="13"/>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c r="A724" s="13"/>
      <c r="B724" s="17"/>
      <c r="C724" s="13"/>
      <c r="D724" s="13"/>
      <c r="E724" s="13"/>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c r="A725" s="13"/>
      <c r="B725" s="17"/>
      <c r="C725" s="13"/>
      <c r="D725" s="13"/>
      <c r="E725" s="13"/>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c r="A726" s="13"/>
      <c r="B726" s="17"/>
      <c r="C726" s="13"/>
      <c r="D726" s="13"/>
      <c r="E726" s="13"/>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c r="A727" s="13"/>
      <c r="B727" s="17"/>
      <c r="C727" s="13"/>
      <c r="D727" s="13"/>
      <c r="E727" s="13"/>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c r="A728" s="13"/>
      <c r="B728" s="17"/>
      <c r="C728" s="13"/>
      <c r="D728" s="13"/>
      <c r="E728" s="13"/>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c r="A729" s="13"/>
      <c r="B729" s="17"/>
      <c r="C729" s="13"/>
      <c r="D729" s="13"/>
      <c r="E729" s="13"/>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c r="A730" s="13"/>
      <c r="B730" s="17"/>
      <c r="C730" s="13"/>
      <c r="D730" s="13"/>
      <c r="E730" s="13"/>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c r="A731" s="13"/>
      <c r="B731" s="17"/>
      <c r="C731" s="13"/>
      <c r="D731" s="13"/>
      <c r="E731" s="13"/>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c r="A732" s="13"/>
      <c r="B732" s="17"/>
      <c r="C732" s="13"/>
      <c r="D732" s="13"/>
      <c r="E732" s="13"/>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c r="A733" s="13"/>
      <c r="B733" s="17"/>
      <c r="C733" s="13"/>
      <c r="D733" s="13"/>
      <c r="E733" s="13"/>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c r="A734" s="13"/>
      <c r="B734" s="17"/>
      <c r="C734" s="13"/>
      <c r="D734" s="13"/>
      <c r="E734" s="13"/>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c r="A735" s="13"/>
      <c r="B735" s="17"/>
      <c r="C735" s="13"/>
      <c r="D735" s="13"/>
      <c r="E735" s="13"/>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c r="A736" s="13"/>
      <c r="B736" s="17"/>
      <c r="C736" s="13"/>
      <c r="D736" s="13"/>
      <c r="E736" s="13"/>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c r="A737" s="13"/>
      <c r="B737" s="17"/>
      <c r="C737" s="13"/>
      <c r="D737" s="13"/>
      <c r="E737" s="13"/>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c r="A738" s="13"/>
      <c r="B738" s="17"/>
      <c r="C738" s="13"/>
      <c r="D738" s="13"/>
      <c r="E738" s="13"/>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c r="A739" s="13"/>
      <c r="B739" s="17"/>
      <c r="C739" s="13"/>
      <c r="D739" s="13"/>
      <c r="E739" s="13"/>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c r="A740" s="13"/>
      <c r="B740" s="17"/>
      <c r="C740" s="13"/>
      <c r="D740" s="13"/>
      <c r="E740" s="13"/>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c r="A741" s="13"/>
      <c r="B741" s="17"/>
      <c r="C741" s="13"/>
      <c r="D741" s="13"/>
      <c r="E741" s="13"/>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c r="A742" s="13"/>
      <c r="B742" s="17"/>
      <c r="C742" s="13"/>
      <c r="D742" s="13"/>
      <c r="E742" s="13"/>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c r="A743" s="13"/>
      <c r="B743" s="17"/>
      <c r="C743" s="13"/>
      <c r="D743" s="13"/>
      <c r="E743" s="13"/>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c r="A744" s="13"/>
      <c r="B744" s="17"/>
      <c r="C744" s="13"/>
      <c r="D744" s="13"/>
      <c r="E744" s="13"/>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c r="A745" s="13"/>
      <c r="B745" s="17"/>
      <c r="C745" s="13"/>
      <c r="D745" s="13"/>
      <c r="E745" s="13"/>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c r="A746" s="13"/>
      <c r="B746" s="17"/>
      <c r="C746" s="13"/>
      <c r="D746" s="13"/>
      <c r="E746" s="13"/>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c r="A747" s="13"/>
      <c r="B747" s="17"/>
      <c r="C747" s="13"/>
      <c r="D747" s="13"/>
      <c r="E747" s="13"/>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c r="A748" s="13"/>
      <c r="B748" s="17"/>
      <c r="C748" s="13"/>
      <c r="D748" s="13"/>
      <c r="E748" s="13"/>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c r="A749" s="13"/>
      <c r="B749" s="17"/>
      <c r="C749" s="13"/>
      <c r="D749" s="13"/>
      <c r="E749" s="13"/>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c r="A750" s="13"/>
      <c r="B750" s="17"/>
      <c r="C750" s="13"/>
      <c r="D750" s="13"/>
      <c r="E750" s="13"/>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c r="A751" s="13"/>
      <c r="B751" s="17"/>
      <c r="C751" s="13"/>
      <c r="D751" s="13"/>
      <c r="E751" s="13"/>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c r="A752" s="13"/>
      <c r="B752" s="17"/>
      <c r="C752" s="13"/>
      <c r="D752" s="13"/>
      <c r="E752" s="13"/>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c r="A753" s="13"/>
      <c r="B753" s="17"/>
      <c r="C753" s="13"/>
      <c r="D753" s="13"/>
      <c r="E753" s="13"/>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c r="A754" s="13"/>
      <c r="B754" s="17"/>
      <c r="C754" s="13"/>
      <c r="D754" s="13"/>
      <c r="E754" s="13"/>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c r="A755" s="13"/>
      <c r="B755" s="17"/>
      <c r="C755" s="13"/>
      <c r="D755" s="13"/>
      <c r="E755" s="13"/>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c r="A756" s="13"/>
      <c r="B756" s="17"/>
      <c r="C756" s="13"/>
      <c r="D756" s="13"/>
      <c r="E756" s="13"/>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c r="A757" s="13"/>
      <c r="B757" s="17"/>
      <c r="C757" s="13"/>
      <c r="D757" s="13"/>
      <c r="E757" s="13"/>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c r="A758" s="13"/>
      <c r="B758" s="17"/>
      <c r="C758" s="13"/>
      <c r="D758" s="13"/>
      <c r="E758" s="13"/>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c r="A759" s="13"/>
      <c r="B759" s="17"/>
      <c r="C759" s="13"/>
      <c r="D759" s="13"/>
      <c r="E759" s="13"/>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c r="A760" s="13"/>
      <c r="B760" s="17"/>
      <c r="C760" s="13"/>
      <c r="D760" s="13"/>
      <c r="E760" s="13"/>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c r="A761" s="13"/>
      <c r="B761" s="17"/>
      <c r="C761" s="13"/>
      <c r="D761" s="13"/>
      <c r="E761" s="13"/>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c r="A762" s="13"/>
      <c r="B762" s="17"/>
      <c r="C762" s="13"/>
      <c r="D762" s="13"/>
      <c r="E762" s="13"/>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c r="A763" s="13"/>
      <c r="B763" s="17"/>
      <c r="C763" s="13"/>
      <c r="D763" s="13"/>
      <c r="E763" s="13"/>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c r="A764" s="13"/>
      <c r="B764" s="17"/>
      <c r="C764" s="13"/>
      <c r="D764" s="13"/>
      <c r="E764" s="13"/>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c r="A765" s="13"/>
      <c r="B765" s="17"/>
      <c r="C765" s="13"/>
      <c r="D765" s="13"/>
      <c r="E765" s="13"/>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c r="A766" s="13"/>
      <c r="B766" s="17"/>
      <c r="C766" s="13"/>
      <c r="D766" s="13"/>
      <c r="E766" s="13"/>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c r="A767" s="13"/>
      <c r="B767" s="17"/>
      <c r="C767" s="13"/>
      <c r="D767" s="13"/>
      <c r="E767" s="13"/>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c r="A768" s="13"/>
      <c r="B768" s="17"/>
      <c r="C768" s="13"/>
      <c r="D768" s="13"/>
      <c r="E768" s="13"/>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c r="A769" s="13"/>
      <c r="B769" s="17"/>
      <c r="C769" s="13"/>
      <c r="D769" s="13"/>
      <c r="E769" s="13"/>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c r="A770" s="13"/>
      <c r="B770" s="17"/>
      <c r="C770" s="13"/>
      <c r="D770" s="13"/>
      <c r="E770" s="13"/>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c r="A771" s="13"/>
      <c r="B771" s="17"/>
      <c r="C771" s="13"/>
      <c r="D771" s="13"/>
      <c r="E771" s="13"/>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c r="A772" s="13"/>
      <c r="B772" s="17"/>
      <c r="C772" s="13"/>
      <c r="D772" s="13"/>
      <c r="E772" s="13"/>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c r="A773" s="13"/>
      <c r="B773" s="17"/>
      <c r="C773" s="13"/>
      <c r="D773" s="13"/>
      <c r="E773" s="13"/>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c r="A774" s="13"/>
      <c r="B774" s="17"/>
      <c r="C774" s="13"/>
      <c r="D774" s="13"/>
      <c r="E774" s="13"/>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c r="A775" s="13"/>
      <c r="B775" s="17"/>
      <c r="C775" s="13"/>
      <c r="D775" s="13"/>
      <c r="E775" s="13"/>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c r="A776" s="13"/>
      <c r="B776" s="17"/>
      <c r="C776" s="13"/>
      <c r="D776" s="13"/>
      <c r="E776" s="13"/>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c r="A777" s="13"/>
      <c r="B777" s="17"/>
      <c r="C777" s="13"/>
      <c r="D777" s="13"/>
      <c r="E777" s="13"/>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c r="A778" s="13"/>
      <c r="B778" s="17"/>
      <c r="C778" s="13"/>
      <c r="D778" s="13"/>
      <c r="E778" s="13"/>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c r="A779" s="13"/>
      <c r="B779" s="17"/>
      <c r="C779" s="13"/>
      <c r="D779" s="13"/>
      <c r="E779" s="13"/>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c r="A780" s="13"/>
      <c r="B780" s="17"/>
      <c r="C780" s="13"/>
      <c r="D780" s="13"/>
      <c r="E780" s="13"/>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c r="A781" s="13"/>
      <c r="B781" s="17"/>
      <c r="C781" s="13"/>
      <c r="D781" s="13"/>
      <c r="E781" s="13"/>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c r="A782" s="13"/>
      <c r="B782" s="17"/>
      <c r="C782" s="13"/>
      <c r="D782" s="13"/>
      <c r="E782" s="13"/>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c r="A783" s="13"/>
      <c r="B783" s="17"/>
      <c r="C783" s="13"/>
      <c r="D783" s="13"/>
      <c r="E783" s="13"/>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c r="A784" s="13"/>
      <c r="B784" s="17"/>
      <c r="C784" s="13"/>
      <c r="D784" s="13"/>
      <c r="E784" s="13"/>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c r="A785" s="13"/>
      <c r="B785" s="17"/>
      <c r="C785" s="13"/>
      <c r="D785" s="13"/>
      <c r="E785" s="13"/>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c r="A786" s="13"/>
      <c r="B786" s="17"/>
      <c r="C786" s="13"/>
      <c r="D786" s="13"/>
      <c r="E786" s="13"/>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c r="A787" s="13"/>
      <c r="B787" s="17"/>
      <c r="C787" s="13"/>
      <c r="D787" s="13"/>
      <c r="E787" s="13"/>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c r="A788" s="13"/>
      <c r="B788" s="17"/>
      <c r="C788" s="13"/>
      <c r="D788" s="13"/>
      <c r="E788" s="13"/>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c r="A789" s="13"/>
      <c r="B789" s="17"/>
      <c r="C789" s="13"/>
      <c r="D789" s="13"/>
      <c r="E789" s="13"/>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c r="A790" s="13"/>
      <c r="B790" s="17"/>
      <c r="C790" s="13"/>
      <c r="D790" s="13"/>
      <c r="E790" s="13"/>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c r="A791" s="13"/>
      <c r="B791" s="17"/>
      <c r="C791" s="13"/>
      <c r="D791" s="13"/>
      <c r="E791" s="13"/>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c r="A792" s="13"/>
      <c r="B792" s="17"/>
      <c r="C792" s="13"/>
      <c r="D792" s="13"/>
      <c r="E792" s="13"/>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c r="A793" s="13"/>
      <c r="B793" s="17"/>
      <c r="C793" s="13"/>
      <c r="D793" s="13"/>
      <c r="E793" s="13"/>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c r="A794" s="13"/>
      <c r="B794" s="17"/>
      <c r="C794" s="13"/>
      <c r="D794" s="13"/>
      <c r="E794" s="13"/>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c r="A795" s="13"/>
      <c r="B795" s="17"/>
      <c r="C795" s="13"/>
      <c r="D795" s="13"/>
      <c r="E795" s="13"/>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c r="A796" s="13"/>
      <c r="B796" s="17"/>
      <c r="C796" s="13"/>
      <c r="D796" s="13"/>
      <c r="E796" s="13"/>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c r="A797" s="13"/>
      <c r="B797" s="17"/>
      <c r="C797" s="13"/>
      <c r="D797" s="13"/>
      <c r="E797" s="13"/>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c r="A798" s="13"/>
      <c r="B798" s="17"/>
      <c r="C798" s="13"/>
      <c r="D798" s="13"/>
      <c r="E798" s="13"/>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c r="A799" s="13"/>
      <c r="B799" s="17"/>
      <c r="C799" s="13"/>
      <c r="D799" s="13"/>
      <c r="E799" s="13"/>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c r="A800" s="13"/>
      <c r="B800" s="17"/>
      <c r="C800" s="13"/>
      <c r="D800" s="13"/>
      <c r="E800" s="13"/>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c r="A801" s="13"/>
      <c r="B801" s="17"/>
      <c r="C801" s="13"/>
      <c r="D801" s="13"/>
      <c r="E801" s="13"/>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c r="A802" s="13"/>
      <c r="B802" s="17"/>
      <c r="C802" s="13"/>
      <c r="D802" s="13"/>
      <c r="E802" s="13"/>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c r="A803" s="13"/>
      <c r="B803" s="17"/>
      <c r="C803" s="13"/>
      <c r="D803" s="13"/>
      <c r="E803" s="13"/>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c r="A804" s="13"/>
      <c r="B804" s="17"/>
      <c r="C804" s="13"/>
      <c r="D804" s="13"/>
      <c r="E804" s="13"/>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c r="A805" s="13"/>
      <c r="B805" s="17"/>
      <c r="C805" s="13"/>
      <c r="D805" s="13"/>
      <c r="E805" s="13"/>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c r="A806" s="13"/>
      <c r="B806" s="17"/>
      <c r="C806" s="13"/>
      <c r="D806" s="13"/>
      <c r="E806" s="13"/>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c r="A807" s="13"/>
      <c r="B807" s="17"/>
      <c r="C807" s="13"/>
      <c r="D807" s="13"/>
      <c r="E807" s="13"/>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c r="A808" s="13"/>
      <c r="B808" s="17"/>
      <c r="C808" s="13"/>
      <c r="D808" s="13"/>
      <c r="E808" s="13"/>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c r="A809" s="13"/>
      <c r="B809" s="17"/>
      <c r="C809" s="13"/>
      <c r="D809" s="13"/>
      <c r="E809" s="13"/>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c r="A810" s="13"/>
      <c r="B810" s="17"/>
      <c r="C810" s="13"/>
      <c r="D810" s="13"/>
      <c r="E810" s="13"/>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c r="A811" s="13"/>
      <c r="B811" s="17"/>
      <c r="C811" s="13"/>
      <c r="D811" s="13"/>
      <c r="E811" s="13"/>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c r="A812" s="13"/>
      <c r="B812" s="17"/>
      <c r="C812" s="13"/>
      <c r="D812" s="13"/>
      <c r="E812" s="13"/>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c r="A813" s="13"/>
      <c r="B813" s="17"/>
      <c r="C813" s="13"/>
      <c r="D813" s="13"/>
      <c r="E813" s="13"/>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c r="A814" s="13"/>
      <c r="B814" s="17"/>
      <c r="C814" s="13"/>
      <c r="D814" s="13"/>
      <c r="E814" s="13"/>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c r="A815" s="13"/>
      <c r="B815" s="17"/>
      <c r="C815" s="13"/>
      <c r="D815" s="13"/>
      <c r="E815" s="13"/>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c r="A816" s="13"/>
      <c r="B816" s="17"/>
      <c r="C816" s="13"/>
      <c r="D816" s="13"/>
      <c r="E816" s="13"/>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c r="A817" s="13"/>
      <c r="B817" s="17"/>
      <c r="C817" s="13"/>
      <c r="D817" s="13"/>
      <c r="E817" s="13"/>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c r="A818" s="13"/>
      <c r="B818" s="17"/>
      <c r="C818" s="13"/>
      <c r="D818" s="13"/>
      <c r="E818" s="13"/>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c r="A819" s="13"/>
      <c r="B819" s="17"/>
      <c r="C819" s="13"/>
      <c r="D819" s="13"/>
      <c r="E819" s="13"/>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c r="A820" s="13"/>
      <c r="B820" s="17"/>
      <c r="C820" s="13"/>
      <c r="D820" s="13"/>
      <c r="E820" s="13"/>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c r="A821" s="13"/>
      <c r="B821" s="17"/>
      <c r="C821" s="13"/>
      <c r="D821" s="13"/>
      <c r="E821" s="13"/>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c r="A822" s="13"/>
      <c r="B822" s="17"/>
      <c r="C822" s="13"/>
      <c r="D822" s="13"/>
      <c r="E822" s="13"/>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c r="A823" s="13"/>
      <c r="B823" s="17"/>
      <c r="C823" s="13"/>
      <c r="D823" s="13"/>
      <c r="E823" s="13"/>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c r="A824" s="13"/>
      <c r="B824" s="17"/>
      <c r="C824" s="13"/>
      <c r="D824" s="13"/>
      <c r="E824" s="13"/>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c r="A825" s="13"/>
      <c r="B825" s="17"/>
      <c r="C825" s="13"/>
      <c r="D825" s="13"/>
      <c r="E825" s="13"/>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c r="A826" s="13"/>
      <c r="B826" s="17"/>
      <c r="C826" s="13"/>
      <c r="D826" s="13"/>
      <c r="E826" s="13"/>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c r="A827" s="13"/>
      <c r="B827" s="17"/>
      <c r="C827" s="13"/>
      <c r="D827" s="13"/>
      <c r="E827" s="13"/>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c r="A828" s="13"/>
      <c r="B828" s="17"/>
      <c r="C828" s="13"/>
      <c r="D828" s="13"/>
      <c r="E828" s="13"/>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c r="A829" s="13"/>
      <c r="B829" s="17"/>
      <c r="C829" s="13"/>
      <c r="D829" s="13"/>
      <c r="E829" s="13"/>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c r="A830" s="13"/>
      <c r="B830" s="17"/>
      <c r="C830" s="13"/>
      <c r="D830" s="13"/>
      <c r="E830" s="13"/>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c r="A831" s="13"/>
      <c r="B831" s="17"/>
      <c r="C831" s="13"/>
      <c r="D831" s="13"/>
      <c r="E831" s="13"/>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c r="A832" s="13"/>
      <c r="B832" s="17"/>
      <c r="C832" s="13"/>
      <c r="D832" s="13"/>
      <c r="E832" s="13"/>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c r="A833" s="13"/>
      <c r="B833" s="17"/>
      <c r="C833" s="13"/>
      <c r="D833" s="13"/>
      <c r="E833" s="13"/>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c r="A834" s="13"/>
      <c r="B834" s="17"/>
      <c r="C834" s="13"/>
      <c r="D834" s="13"/>
      <c r="E834" s="13"/>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c r="A835" s="13"/>
      <c r="B835" s="17"/>
      <c r="C835" s="13"/>
      <c r="D835" s="13"/>
      <c r="E835" s="13"/>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c r="A836" s="13"/>
      <c r="B836" s="17"/>
      <c r="C836" s="13"/>
      <c r="D836" s="13"/>
      <c r="E836" s="13"/>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c r="A837" s="13"/>
      <c r="B837" s="17"/>
      <c r="C837" s="13"/>
      <c r="D837" s="13"/>
      <c r="E837" s="13"/>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c r="A838" s="13"/>
      <c r="B838" s="17"/>
      <c r="C838" s="13"/>
      <c r="D838" s="13"/>
      <c r="E838" s="13"/>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c r="A839" s="13"/>
      <c r="B839" s="17"/>
      <c r="C839" s="13"/>
      <c r="D839" s="13"/>
      <c r="E839" s="13"/>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c r="A840" s="13"/>
      <c r="B840" s="17"/>
      <c r="C840" s="13"/>
      <c r="D840" s="13"/>
      <c r="E840" s="13"/>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c r="A841" s="13"/>
      <c r="B841" s="17"/>
      <c r="C841" s="13"/>
      <c r="D841" s="13"/>
      <c r="E841" s="13"/>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c r="A842" s="13"/>
      <c r="B842" s="17"/>
      <c r="C842" s="13"/>
      <c r="D842" s="13"/>
      <c r="E842" s="13"/>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c r="A843" s="13"/>
      <c r="B843" s="17"/>
      <c r="C843" s="13"/>
      <c r="D843" s="13"/>
      <c r="E843" s="13"/>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c r="A844" s="13"/>
      <c r="B844" s="17"/>
      <c r="C844" s="13"/>
      <c r="D844" s="13"/>
      <c r="E844" s="13"/>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c r="A845" s="13"/>
      <c r="B845" s="17"/>
      <c r="C845" s="13"/>
      <c r="D845" s="13"/>
      <c r="E845" s="13"/>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c r="A846" s="13"/>
      <c r="B846" s="17"/>
      <c r="C846" s="13"/>
      <c r="D846" s="13"/>
      <c r="E846" s="13"/>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c r="A847" s="13"/>
      <c r="B847" s="17"/>
      <c r="C847" s="13"/>
      <c r="D847" s="13"/>
      <c r="E847" s="13"/>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c r="A848" s="13"/>
      <c r="B848" s="17"/>
      <c r="C848" s="13"/>
      <c r="D848" s="13"/>
      <c r="E848" s="13"/>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c r="A849" s="13"/>
      <c r="B849" s="17"/>
      <c r="C849" s="13"/>
      <c r="D849" s="13"/>
      <c r="E849" s="13"/>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c r="A850" s="13"/>
      <c r="B850" s="17"/>
      <c r="C850" s="13"/>
      <c r="D850" s="13"/>
      <c r="E850" s="13"/>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c r="A851" s="13"/>
      <c r="B851" s="17"/>
      <c r="C851" s="13"/>
      <c r="D851" s="13"/>
      <c r="E851" s="13"/>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c r="A852" s="13"/>
      <c r="B852" s="17"/>
      <c r="C852" s="13"/>
      <c r="D852" s="13"/>
      <c r="E852" s="13"/>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c r="A853" s="13"/>
      <c r="B853" s="17"/>
      <c r="C853" s="13"/>
      <c r="D853" s="13"/>
      <c r="E853" s="13"/>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c r="A854" s="13"/>
      <c r="B854" s="17"/>
      <c r="C854" s="13"/>
      <c r="D854" s="13"/>
      <c r="E854" s="13"/>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c r="A855" s="13"/>
      <c r="B855" s="17"/>
      <c r="C855" s="13"/>
      <c r="D855" s="13"/>
      <c r="E855" s="13"/>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c r="A856" s="13"/>
      <c r="B856" s="17"/>
      <c r="C856" s="13"/>
      <c r="D856" s="13"/>
      <c r="E856" s="13"/>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c r="A857" s="13"/>
      <c r="B857" s="17"/>
      <c r="C857" s="13"/>
      <c r="D857" s="13"/>
      <c r="E857" s="13"/>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c r="A858" s="13"/>
      <c r="B858" s="17"/>
      <c r="C858" s="13"/>
      <c r="D858" s="13"/>
      <c r="E858" s="13"/>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c r="A859" s="13"/>
      <c r="B859" s="17"/>
      <c r="C859" s="13"/>
      <c r="D859" s="13"/>
      <c r="E859" s="13"/>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c r="A860" s="13"/>
      <c r="B860" s="17"/>
      <c r="C860" s="13"/>
      <c r="D860" s="13"/>
      <c r="E860" s="13"/>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c r="A861" s="13"/>
      <c r="B861" s="17"/>
      <c r="C861" s="13"/>
      <c r="D861" s="13"/>
      <c r="E861" s="13"/>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c r="A862" s="13"/>
      <c r="B862" s="17"/>
      <c r="C862" s="13"/>
      <c r="D862" s="13"/>
      <c r="E862" s="13"/>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c r="A863" s="13"/>
      <c r="B863" s="17"/>
      <c r="C863" s="13"/>
      <c r="D863" s="13"/>
      <c r="E863" s="13"/>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c r="A864" s="13"/>
      <c r="B864" s="17"/>
      <c r="C864" s="13"/>
      <c r="D864" s="13"/>
      <c r="E864" s="13"/>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c r="A865" s="13"/>
      <c r="B865" s="17"/>
      <c r="C865" s="13"/>
      <c r="D865" s="13"/>
      <c r="E865" s="13"/>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c r="A866" s="13"/>
      <c r="B866" s="17"/>
      <c r="C866" s="13"/>
      <c r="D866" s="13"/>
      <c r="E866" s="13"/>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c r="A867" s="13"/>
      <c r="B867" s="17"/>
      <c r="C867" s="13"/>
      <c r="D867" s="13"/>
      <c r="E867" s="13"/>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c r="A868" s="13"/>
      <c r="B868" s="17"/>
      <c r="C868" s="13"/>
      <c r="D868" s="13"/>
      <c r="E868" s="13"/>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c r="A869" s="13"/>
      <c r="B869" s="17"/>
      <c r="C869" s="13"/>
      <c r="D869" s="13"/>
      <c r="E869" s="13"/>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c r="A870" s="13"/>
      <c r="B870" s="17"/>
      <c r="C870" s="13"/>
      <c r="D870" s="13"/>
      <c r="E870" s="13"/>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c r="A871" s="13"/>
      <c r="B871" s="17"/>
      <c r="C871" s="13"/>
      <c r="D871" s="13"/>
      <c r="E871" s="13"/>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c r="A872" s="13"/>
      <c r="B872" s="17"/>
      <c r="C872" s="13"/>
      <c r="D872" s="13"/>
      <c r="E872" s="13"/>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c r="A873" s="13"/>
      <c r="B873" s="17"/>
      <c r="C873" s="13"/>
      <c r="D873" s="13"/>
      <c r="E873" s="13"/>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c r="A874" s="13"/>
      <c r="B874" s="17"/>
      <c r="C874" s="13"/>
      <c r="D874" s="13"/>
      <c r="E874" s="13"/>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c r="A875" s="13"/>
      <c r="B875" s="17"/>
      <c r="C875" s="13"/>
      <c r="D875" s="13"/>
      <c r="E875" s="13"/>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c r="A876" s="13"/>
      <c r="B876" s="17"/>
      <c r="C876" s="13"/>
      <c r="D876" s="13"/>
      <c r="E876" s="13"/>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c r="A877" s="13"/>
      <c r="B877" s="17"/>
      <c r="C877" s="13"/>
      <c r="D877" s="13"/>
      <c r="E877" s="13"/>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c r="A878" s="13"/>
      <c r="B878" s="17"/>
      <c r="C878" s="13"/>
      <c r="D878" s="13"/>
      <c r="E878" s="13"/>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c r="A879" s="13"/>
      <c r="B879" s="17"/>
      <c r="C879" s="13"/>
      <c r="D879" s="13"/>
      <c r="E879" s="13"/>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c r="A880" s="13"/>
      <c r="B880" s="17"/>
      <c r="C880" s="13"/>
      <c r="D880" s="13"/>
      <c r="E880" s="13"/>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c r="A881" s="13"/>
      <c r="B881" s="17"/>
      <c r="C881" s="13"/>
      <c r="D881" s="13"/>
      <c r="E881" s="13"/>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c r="A882" s="13"/>
      <c r="B882" s="17"/>
      <c r="C882" s="13"/>
      <c r="D882" s="13"/>
      <c r="E882" s="13"/>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c r="A883" s="13"/>
      <c r="B883" s="17"/>
      <c r="C883" s="13"/>
      <c r="D883" s="13"/>
      <c r="E883" s="13"/>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c r="A884" s="13"/>
      <c r="B884" s="17"/>
      <c r="C884" s="13"/>
      <c r="D884" s="13"/>
      <c r="E884" s="13"/>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c r="A885" s="13"/>
      <c r="B885" s="17"/>
      <c r="C885" s="13"/>
      <c r="D885" s="13"/>
      <c r="E885" s="13"/>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c r="A886" s="13"/>
      <c r="B886" s="17"/>
      <c r="C886" s="13"/>
      <c r="D886" s="13"/>
      <c r="E886" s="13"/>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c r="A887" s="13"/>
      <c r="B887" s="17"/>
      <c r="C887" s="13"/>
      <c r="D887" s="13"/>
      <c r="E887" s="13"/>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c r="A888" s="13"/>
      <c r="B888" s="17"/>
      <c r="C888" s="13"/>
      <c r="D888" s="13"/>
      <c r="E888" s="13"/>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c r="A889" s="13"/>
      <c r="B889" s="17"/>
      <c r="C889" s="13"/>
      <c r="D889" s="13"/>
      <c r="E889" s="13"/>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c r="A890" s="13"/>
      <c r="B890" s="17"/>
      <c r="C890" s="13"/>
      <c r="D890" s="13"/>
      <c r="E890" s="13"/>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c r="A891" s="13"/>
      <c r="B891" s="17"/>
      <c r="C891" s="13"/>
      <c r="D891" s="13"/>
      <c r="E891" s="13"/>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c r="A892" s="13"/>
      <c r="B892" s="17"/>
      <c r="C892" s="13"/>
      <c r="D892" s="13"/>
      <c r="E892" s="13"/>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c r="A893" s="13"/>
      <c r="B893" s="17"/>
      <c r="C893" s="13"/>
      <c r="D893" s="13"/>
      <c r="E893" s="13"/>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c r="A894" s="13"/>
      <c r="B894" s="17"/>
      <c r="C894" s="13"/>
      <c r="D894" s="13"/>
      <c r="E894" s="13"/>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c r="A895" s="13"/>
      <c r="B895" s="17"/>
      <c r="C895" s="13"/>
      <c r="D895" s="13"/>
      <c r="E895" s="13"/>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c r="A896" s="13"/>
      <c r="B896" s="17"/>
      <c r="C896" s="13"/>
      <c r="D896" s="13"/>
      <c r="E896" s="13"/>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c r="A897" s="13"/>
      <c r="B897" s="17"/>
      <c r="C897" s="13"/>
      <c r="D897" s="13"/>
      <c r="E897" s="13"/>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c r="A898" s="13"/>
      <c r="B898" s="17"/>
      <c r="C898" s="13"/>
      <c r="D898" s="13"/>
      <c r="E898" s="13"/>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c r="A899" s="13"/>
      <c r="B899" s="17"/>
      <c r="C899" s="13"/>
      <c r="D899" s="13"/>
      <c r="E899" s="13"/>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c r="A900" s="13"/>
      <c r="B900" s="17"/>
      <c r="C900" s="13"/>
      <c r="D900" s="13"/>
      <c r="E900" s="13"/>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c r="A901" s="13"/>
      <c r="B901" s="17"/>
      <c r="C901" s="13"/>
      <c r="D901" s="13"/>
      <c r="E901" s="13"/>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c r="A902" s="13"/>
      <c r="B902" s="17"/>
      <c r="C902" s="13"/>
      <c r="D902" s="13"/>
      <c r="E902" s="13"/>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c r="A903" s="13"/>
      <c r="B903" s="17"/>
      <c r="C903" s="13"/>
      <c r="D903" s="13"/>
      <c r="E903" s="13"/>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c r="A904" s="13"/>
      <c r="B904" s="17"/>
      <c r="C904" s="13"/>
      <c r="D904" s="13"/>
      <c r="E904" s="13"/>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c r="A905" s="13"/>
      <c r="B905" s="17"/>
      <c r="C905" s="13"/>
      <c r="D905" s="13"/>
      <c r="E905" s="13"/>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c r="A906" s="13"/>
      <c r="B906" s="17"/>
      <c r="C906" s="13"/>
      <c r="D906" s="13"/>
      <c r="E906" s="13"/>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c r="A907" s="13"/>
      <c r="B907" s="17"/>
      <c r="C907" s="13"/>
      <c r="D907" s="13"/>
      <c r="E907" s="13"/>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c r="A908" s="13"/>
      <c r="B908" s="17"/>
      <c r="C908" s="13"/>
      <c r="D908" s="13"/>
      <c r="E908" s="13"/>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c r="A909" s="13"/>
      <c r="B909" s="17"/>
      <c r="C909" s="13"/>
      <c r="D909" s="13"/>
      <c r="E909" s="13"/>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c r="A910" s="13"/>
      <c r="B910" s="17"/>
      <c r="C910" s="13"/>
      <c r="D910" s="13"/>
      <c r="E910" s="13"/>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c r="A911" s="13"/>
      <c r="B911" s="17"/>
      <c r="C911" s="13"/>
      <c r="D911" s="13"/>
      <c r="E911" s="13"/>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c r="A912" s="13"/>
      <c r="B912" s="17"/>
      <c r="C912" s="13"/>
      <c r="D912" s="13"/>
      <c r="E912" s="13"/>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c r="A913" s="13"/>
      <c r="B913" s="17"/>
      <c r="C913" s="13"/>
      <c r="D913" s="13"/>
      <c r="E913" s="13"/>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c r="A914" s="13"/>
      <c r="B914" s="17"/>
      <c r="C914" s="13"/>
      <c r="D914" s="13"/>
      <c r="E914" s="13"/>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c r="A915" s="13"/>
      <c r="B915" s="17"/>
      <c r="C915" s="13"/>
      <c r="D915" s="13"/>
      <c r="E915" s="13"/>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c r="A916" s="13"/>
      <c r="B916" s="17"/>
      <c r="C916" s="13"/>
      <c r="D916" s="13"/>
      <c r="E916" s="13"/>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c r="A917" s="13"/>
      <c r="B917" s="17"/>
      <c r="C917" s="13"/>
      <c r="D917" s="13"/>
      <c r="E917" s="13"/>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c r="A918" s="13"/>
      <c r="B918" s="17"/>
      <c r="C918" s="13"/>
      <c r="D918" s="13"/>
      <c r="E918" s="13"/>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c r="A919" s="13"/>
      <c r="B919" s="17"/>
      <c r="C919" s="13"/>
      <c r="D919" s="13"/>
      <c r="E919" s="13"/>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c r="A920" s="13"/>
      <c r="B920" s="17"/>
      <c r="C920" s="13"/>
      <c r="D920" s="13"/>
      <c r="E920" s="13"/>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c r="A921" s="13"/>
      <c r="B921" s="17"/>
      <c r="C921" s="13"/>
      <c r="D921" s="13"/>
      <c r="E921" s="13"/>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c r="A922" s="13"/>
      <c r="B922" s="17"/>
      <c r="C922" s="13"/>
      <c r="D922" s="13"/>
      <c r="E922" s="13"/>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c r="A923" s="13"/>
      <c r="B923" s="17"/>
      <c r="C923" s="13"/>
      <c r="D923" s="13"/>
      <c r="E923" s="13"/>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c r="A924" s="13"/>
      <c r="B924" s="17"/>
      <c r="C924" s="13"/>
      <c r="D924" s="13"/>
      <c r="E924" s="13"/>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c r="A925" s="13"/>
      <c r="B925" s="17"/>
      <c r="C925" s="13"/>
      <c r="D925" s="13"/>
      <c r="E925" s="13"/>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c r="A926" s="13"/>
      <c r="B926" s="17"/>
      <c r="C926" s="13"/>
      <c r="D926" s="13"/>
      <c r="E926" s="13"/>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c r="A927" s="13"/>
      <c r="B927" s="17"/>
      <c r="C927" s="13"/>
      <c r="D927" s="13"/>
      <c r="E927" s="13"/>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c r="A928" s="13"/>
      <c r="B928" s="17"/>
      <c r="C928" s="13"/>
      <c r="D928" s="13"/>
      <c r="E928" s="13"/>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c r="A929" s="13"/>
      <c r="B929" s="17"/>
      <c r="C929" s="13"/>
      <c r="D929" s="13"/>
      <c r="E929" s="13"/>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c r="A930" s="13"/>
      <c r="B930" s="17"/>
      <c r="C930" s="13"/>
      <c r="D930" s="13"/>
      <c r="E930" s="13"/>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c r="A931" s="13"/>
      <c r="B931" s="17"/>
      <c r="C931" s="13"/>
      <c r="D931" s="13"/>
      <c r="E931" s="13"/>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c r="A932" s="13"/>
      <c r="B932" s="17"/>
      <c r="C932" s="13"/>
      <c r="D932" s="13"/>
      <c r="E932" s="13"/>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c r="A933" s="13"/>
      <c r="B933" s="17"/>
      <c r="C933" s="13"/>
      <c r="D933" s="13"/>
      <c r="E933" s="13"/>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c r="A934" s="13"/>
      <c r="B934" s="17"/>
      <c r="C934" s="13"/>
      <c r="D934" s="13"/>
      <c r="E934" s="13"/>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c r="A935" s="13"/>
      <c r="B935" s="17"/>
      <c r="C935" s="13"/>
      <c r="D935" s="13"/>
      <c r="E935" s="13"/>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c r="A936" s="13"/>
      <c r="B936" s="17"/>
      <c r="C936" s="13"/>
      <c r="D936" s="13"/>
      <c r="E936" s="13"/>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c r="A937" s="13"/>
      <c r="B937" s="17"/>
      <c r="C937" s="13"/>
      <c r="D937" s="13"/>
      <c r="E937" s="13"/>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c r="A938" s="13"/>
      <c r="B938" s="17"/>
      <c r="C938" s="13"/>
      <c r="D938" s="13"/>
      <c r="E938" s="13"/>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c r="A939" s="13"/>
      <c r="B939" s="17"/>
      <c r="C939" s="13"/>
      <c r="D939" s="13"/>
      <c r="E939" s="13"/>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c r="A940" s="13"/>
      <c r="B940" s="17"/>
      <c r="C940" s="13"/>
      <c r="D940" s="13"/>
      <c r="E940" s="13"/>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c r="A941" s="13"/>
      <c r="B941" s="17"/>
      <c r="C941" s="13"/>
      <c r="D941" s="13"/>
      <c r="E941" s="13"/>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c r="A942" s="13"/>
      <c r="B942" s="17"/>
      <c r="C942" s="13"/>
      <c r="D942" s="13"/>
      <c r="E942" s="13"/>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c r="A943" s="13"/>
      <c r="B943" s="17"/>
      <c r="C943" s="13"/>
      <c r="D943" s="13"/>
      <c r="E943" s="13"/>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c r="A944" s="13"/>
      <c r="B944" s="17"/>
      <c r="C944" s="13"/>
      <c r="D944" s="13"/>
      <c r="E944" s="13"/>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c r="A945" s="13"/>
      <c r="B945" s="17"/>
      <c r="C945" s="13"/>
      <c r="D945" s="13"/>
      <c r="E945" s="13"/>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c r="A946" s="13"/>
      <c r="B946" s="17"/>
      <c r="C946" s="13"/>
      <c r="D946" s="13"/>
      <c r="E946" s="13"/>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c r="A947" s="13"/>
      <c r="B947" s="17"/>
      <c r="C947" s="13"/>
      <c r="D947" s="13"/>
      <c r="E947" s="13"/>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c r="A948" s="13"/>
      <c r="B948" s="17"/>
      <c r="C948" s="13"/>
      <c r="D948" s="13"/>
      <c r="E948" s="13"/>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c r="A949" s="13"/>
      <c r="B949" s="17"/>
      <c r="C949" s="13"/>
      <c r="D949" s="13"/>
      <c r="E949" s="13"/>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c r="A950" s="13"/>
      <c r="B950" s="17"/>
      <c r="C950" s="13"/>
      <c r="D950" s="13"/>
      <c r="E950" s="13"/>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c r="A951" s="13"/>
      <c r="B951" s="17"/>
      <c r="C951" s="13"/>
      <c r="D951" s="13"/>
      <c r="E951" s="13"/>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c r="A952" s="13"/>
      <c r="B952" s="17"/>
      <c r="C952" s="13"/>
      <c r="D952" s="13"/>
      <c r="E952" s="13"/>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c r="A953" s="13"/>
      <c r="B953" s="17"/>
      <c r="C953" s="13"/>
      <c r="D953" s="13"/>
      <c r="E953" s="13"/>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c r="A954" s="13"/>
      <c r="B954" s="17"/>
      <c r="C954" s="13"/>
      <c r="D954" s="13"/>
      <c r="E954" s="13"/>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c r="A955" s="13"/>
      <c r="B955" s="17"/>
      <c r="C955" s="13"/>
      <c r="D955" s="13"/>
      <c r="E955" s="13"/>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c r="A956" s="13"/>
      <c r="B956" s="17"/>
      <c r="C956" s="13"/>
      <c r="D956" s="13"/>
      <c r="E956" s="13"/>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c r="A957" s="13"/>
      <c r="B957" s="17"/>
      <c r="C957" s="13"/>
      <c r="D957" s="13"/>
      <c r="E957" s="13"/>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c r="A958" s="13"/>
      <c r="B958" s="17"/>
      <c r="C958" s="13"/>
      <c r="D958" s="13"/>
      <c r="E958" s="13"/>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c r="A959" s="13"/>
      <c r="B959" s="17"/>
      <c r="C959" s="13"/>
      <c r="D959" s="13"/>
      <c r="E959" s="13"/>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c r="A960" s="13"/>
      <c r="B960" s="17"/>
      <c r="C960" s="13"/>
      <c r="D960" s="13"/>
      <c r="E960" s="13"/>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c r="A961" s="13"/>
      <c r="B961" s="17"/>
      <c r="C961" s="13"/>
      <c r="D961" s="13"/>
      <c r="E961" s="13"/>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c r="A962" s="13"/>
      <c r="B962" s="17"/>
      <c r="C962" s="13"/>
      <c r="D962" s="13"/>
      <c r="E962" s="13"/>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c r="A963" s="13"/>
      <c r="B963" s="17"/>
      <c r="C963" s="13"/>
      <c r="D963" s="13"/>
      <c r="E963" s="13"/>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c r="A964" s="13"/>
      <c r="B964" s="17"/>
      <c r="C964" s="13"/>
      <c r="D964" s="13"/>
      <c r="E964" s="13"/>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c r="A965" s="13"/>
      <c r="B965" s="17"/>
      <c r="C965" s="13"/>
      <c r="D965" s="13"/>
      <c r="E965" s="13"/>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c r="A966" s="13"/>
      <c r="B966" s="17"/>
      <c r="C966" s="13"/>
      <c r="D966" s="13"/>
      <c r="E966" s="13"/>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c r="A967" s="13"/>
      <c r="B967" s="17"/>
      <c r="C967" s="13"/>
      <c r="D967" s="13"/>
      <c r="E967" s="13"/>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c r="A968" s="13"/>
      <c r="B968" s="17"/>
      <c r="C968" s="13"/>
      <c r="D968" s="13"/>
      <c r="E968" s="13"/>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c r="A969" s="13"/>
      <c r="B969" s="17"/>
      <c r="C969" s="13"/>
      <c r="D969" s="13"/>
      <c r="E969" s="13"/>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c r="A970" s="13"/>
      <c r="B970" s="17"/>
      <c r="C970" s="13"/>
      <c r="D970" s="13"/>
      <c r="E970" s="13"/>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c r="A971" s="13"/>
      <c r="B971" s="17"/>
      <c r="C971" s="13"/>
      <c r="D971" s="13"/>
      <c r="E971" s="13"/>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c r="A972" s="13"/>
      <c r="B972" s="17"/>
      <c r="C972" s="13"/>
      <c r="D972" s="13"/>
      <c r="E972" s="13"/>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c r="A973" s="13"/>
      <c r="B973" s="17"/>
      <c r="C973" s="13"/>
      <c r="D973" s="13"/>
      <c r="E973" s="13"/>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c r="A974" s="13"/>
      <c r="B974" s="17"/>
      <c r="C974" s="13"/>
      <c r="D974" s="13"/>
      <c r="E974" s="13"/>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c r="A975" s="13"/>
      <c r="B975" s="17"/>
      <c r="C975" s="13"/>
      <c r="D975" s="13"/>
      <c r="E975" s="13"/>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c r="A976" s="13"/>
      <c r="B976" s="17"/>
      <c r="C976" s="13"/>
      <c r="D976" s="13"/>
      <c r="E976" s="13"/>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c r="A977" s="13"/>
      <c r="B977" s="17"/>
      <c r="C977" s="13"/>
      <c r="D977" s="13"/>
      <c r="E977" s="13"/>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c r="A978" s="13"/>
      <c r="B978" s="17"/>
      <c r="C978" s="13"/>
      <c r="D978" s="13"/>
      <c r="E978" s="13"/>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c r="A979" s="13"/>
      <c r="B979" s="17"/>
      <c r="C979" s="13"/>
      <c r="D979" s="13"/>
      <c r="E979" s="13"/>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c r="A980" s="13"/>
      <c r="B980" s="17"/>
      <c r="C980" s="13"/>
      <c r="D980" s="13"/>
      <c r="E980" s="13"/>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c r="A981" s="13"/>
      <c r="B981" s="17"/>
      <c r="C981" s="13"/>
      <c r="D981" s="13"/>
      <c r="E981" s="13"/>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c r="A982" s="13"/>
      <c r="B982" s="17"/>
      <c r="C982" s="13"/>
      <c r="D982" s="13"/>
      <c r="E982" s="13"/>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c r="A983" s="13"/>
      <c r="B983" s="17"/>
      <c r="C983" s="13"/>
      <c r="D983" s="13"/>
      <c r="E983" s="13"/>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c r="A984" s="13"/>
      <c r="B984" s="17"/>
      <c r="C984" s="13"/>
      <c r="D984" s="13"/>
      <c r="E984" s="13"/>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c r="A985" s="13"/>
      <c r="B985" s="17"/>
      <c r="C985" s="13"/>
      <c r="D985" s="13"/>
      <c r="E985" s="13"/>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c r="A986" s="13"/>
      <c r="B986" s="17"/>
      <c r="C986" s="13"/>
      <c r="D986" s="13"/>
      <c r="E986" s="13"/>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c r="A987" s="13"/>
      <c r="B987" s="17"/>
      <c r="C987" s="13"/>
      <c r="D987" s="13"/>
      <c r="E987" s="13"/>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c r="A988" s="13"/>
      <c r="B988" s="17"/>
      <c r="C988" s="13"/>
      <c r="D988" s="13"/>
      <c r="E988" s="13"/>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c r="A989" s="13"/>
      <c r="B989" s="17"/>
      <c r="C989" s="13"/>
      <c r="D989" s="13"/>
      <c r="E989" s="13"/>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c r="A990" s="13"/>
      <c r="B990" s="17"/>
      <c r="C990" s="13"/>
      <c r="D990" s="13"/>
      <c r="E990" s="13"/>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c r="A991" s="13"/>
      <c r="B991" s="17"/>
      <c r="C991" s="13"/>
      <c r="D991" s="13"/>
      <c r="E991" s="13"/>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c r="A992" s="13"/>
      <c r="B992" s="17"/>
      <c r="C992" s="13"/>
      <c r="D992" s="13"/>
      <c r="E992" s="13"/>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c r="A993" s="13"/>
      <c r="B993" s="17"/>
      <c r="C993" s="13"/>
      <c r="D993" s="13"/>
      <c r="E993" s="13"/>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c r="A994" s="13"/>
      <c r="B994" s="17"/>
      <c r="C994" s="13"/>
      <c r="D994" s="13"/>
      <c r="E994" s="13"/>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c r="A995" s="13"/>
      <c r="B995" s="17"/>
      <c r="C995" s="13"/>
      <c r="D995" s="13"/>
      <c r="E995" s="13"/>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c r="A996" s="13"/>
      <c r="B996" s="17"/>
      <c r="C996" s="13"/>
      <c r="D996" s="13"/>
      <c r="E996" s="13"/>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c r="A997" s="13"/>
      <c r="B997" s="17"/>
      <c r="C997" s="13"/>
      <c r="D997" s="13"/>
      <c r="E997" s="13"/>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c r="A998" s="13"/>
      <c r="B998" s="17"/>
      <c r="C998" s="13"/>
      <c r="D998" s="13"/>
      <c r="E998" s="13"/>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c r="A999" s="13"/>
      <c r="B999" s="17"/>
      <c r="C999" s="13"/>
      <c r="D999" s="13"/>
      <c r="E999" s="13"/>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c r="A1000" s="13"/>
      <c r="B1000" s="17"/>
      <c r="C1000" s="13"/>
      <c r="D1000" s="13"/>
      <c r="E1000" s="13"/>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AB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7</v>
      </c>
      <c r="G1" s="1" t="s">
        <v>8</v>
      </c>
      <c r="H1" s="2"/>
      <c r="I1" s="2"/>
      <c r="J1" s="2"/>
      <c r="K1" s="2"/>
      <c r="L1" s="2"/>
      <c r="M1" s="2"/>
      <c r="N1" s="2"/>
      <c r="O1" s="2"/>
      <c r="P1" s="2"/>
      <c r="Q1" s="2"/>
      <c r="R1" s="2"/>
      <c r="S1" s="2"/>
      <c r="T1" s="2"/>
      <c r="U1" s="2"/>
      <c r="V1" s="2"/>
      <c r="W1" s="2"/>
      <c r="X1" s="2"/>
      <c r="Y1" s="2"/>
      <c r="Z1" s="2"/>
      <c r="AA1" s="2"/>
    </row>
    <row r="2">
      <c r="A2" s="4" t="s">
        <v>9</v>
      </c>
      <c r="B2" s="4" t="s">
        <v>11</v>
      </c>
      <c r="C2" s="3" t="str">
        <f>TEXT(NOW(), "yyyymmddhhmmss")</f>
        <v>20261014002809</v>
      </c>
      <c r="D2" s="3"/>
      <c r="E2" s="4" t="s">
        <v>19</v>
      </c>
      <c r="F2" s="4" t="s">
        <v>20</v>
      </c>
      <c r="G2" s="4" t="s">
        <v>21</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3"/>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2"/>
  <legacyDrawing r:id="rId3"/>
</worksheet>
</file>