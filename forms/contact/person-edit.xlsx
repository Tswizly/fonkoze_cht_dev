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choices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<sst xmlns="http://schemas.openxmlformats.org/spreadsheetml/2006/main" count="476" uniqueCount="305">
  <si>
    <t>form_title</t>
  </si>
  <si>
    <t>type</t>
  </si>
  <si>
    <t>list_name</t>
  </si>
  <si>
    <t>form_id</t>
  </si>
  <si>
    <t>version</t>
  </si>
  <si>
    <t>style</t>
  </si>
  <si>
    <t>path</t>
  </si>
  <si>
    <t>default_language</t>
  </si>
  <si>
    <t>Edit Person</t>
  </si>
  <si>
    <t>contact:person:edit</t>
  </si>
  <si>
    <t>name</t>
  </si>
  <si>
    <t>label::en</t>
  </si>
  <si>
    <t>label::fr</t>
  </si>
  <si>
    <t>label::cr</t>
  </si>
  <si>
    <t>required</t>
  </si>
  <si>
    <t>relevant</t>
  </si>
  <si>
    <t>appearance</t>
  </si>
  <si>
    <t>pages</t>
  </si>
  <si>
    <t>read_only</t>
  </si>
  <si>
    <t>data</t>
  </si>
  <si>
    <t>en</t>
  </si>
  <si>
    <t>constraint</t>
  </si>
  <si>
    <t>constraint_message::en</t>
  </si>
  <si>
    <t>constraint_message::fr</t>
  </si>
  <si>
    <t>constraint_message::cr</t>
  </si>
  <si>
    <t>calculation</t>
  </si>
  <si>
    <t>choice_filter</t>
  </si>
  <si>
    <t>hint::en</t>
  </si>
  <si>
    <t>hint::fr</t>
  </si>
  <si>
    <t>hint::cr</t>
  </si>
  <si>
    <t>default</t>
  </si>
  <si>
    <t>notes</t>
  </si>
  <si>
    <t>begin group</t>
  </si>
  <si>
    <t>inputs</t>
  </si>
  <si>
    <t>NO_LABEL</t>
  </si>
  <si>
    <t>false()</t>
  </si>
  <si>
    <t>user</t>
  </si>
  <si>
    <t>string</t>
  </si>
  <si>
    <t>contact_id</t>
  </si>
  <si>
    <t>Contact ID of the logged in user</t>
  </si>
  <si>
    <t>Identifiant de l'utilisateur</t>
  </si>
  <si>
    <t>Idantifyan itilizatè a</t>
  </si>
  <si>
    <t>facility_id</t>
  </si>
  <si>
    <t>Place ID of the logged in user</t>
  </si>
  <si>
    <t>Identifiant du centre</t>
  </si>
  <si>
    <t>Idantifyan sant lan</t>
  </si>
  <si>
    <t>Name of the logged in user</t>
  </si>
  <si>
    <t>Nom</t>
  </si>
  <si>
    <t>Non itilizatè a</t>
  </si>
  <si>
    <t>hidden</t>
  </si>
  <si>
    <t>roles</t>
  </si>
  <si>
    <t>end group</t>
  </si>
  <si>
    <t>yes_no</t>
  </si>
  <si>
    <t>true</t>
  </si>
  <si>
    <t>Yes</t>
  </si>
  <si>
    <t>from_task</t>
  </si>
  <si>
    <t>data_from_task</t>
  </si>
  <si>
    <t>task_update_chronic_conditions</t>
  </si>
  <si>
    <t>Update Chronic Conditions</t>
  </si>
  <si>
    <t>${data_from_task} = 'true'</t>
  </si>
  <si>
    <t>field-list</t>
  </si>
  <si>
    <t>select_multiple chronic_conditions</t>
  </si>
  <si>
    <t>chronic_conditions_task</t>
  </si>
  <si>
    <t>**Select which chronic condition to add to the patient profile**</t>
  </si>
  <si>
    <t>yes</t>
  </si>
  <si>
    <t>Oui</t>
  </si>
  <si>
    <t>Wi</t>
  </si>
  <si>
    <t>false</t>
  </si>
  <si>
    <t>No</t>
  </si>
  <si>
    <t>Non</t>
  </si>
  <si>
    <t>male_female</t>
  </si>
  <si>
    <t>female</t>
  </si>
  <si>
    <t>Female</t>
  </si>
  <si>
    <t>Femme</t>
  </si>
  <si>
    <t>Fi</t>
  </si>
  <si>
    <t>male</t>
  </si>
  <si>
    <t>Male</t>
  </si>
  <si>
    <t>Homme</t>
  </si>
  <si>
    <t>Gason</t>
  </si>
  <si>
    <t>boy_girl</t>
  </si>
  <si>
    <t>Girl</t>
  </si>
  <si>
    <t>Fille</t>
  </si>
  <si>
    <t>Tifi</t>
  </si>
  <si>
    <t>Boy</t>
  </si>
  <si>
    <t>Garçon</t>
  </si>
  <si>
    <t>Ti gason</t>
  </si>
  <si>
    <t>select_dob_method</t>
  </si>
  <si>
    <t>approx</t>
  </si>
  <si>
    <t>Date unknown</t>
  </si>
  <si>
    <t>Date de naissance inconnue</t>
  </si>
  <si>
    <t>Dat nesans enkoni</t>
  </si>
  <si>
    <t>program_officer</t>
  </si>
  <si>
    <t>Program Officer</t>
  </si>
  <si>
    <t>Chargé de programme</t>
  </si>
  <si>
    <t>Ofisye Pwogram nan</t>
  </si>
  <si>
    <t>init</t>
  </si>
  <si>
    <t>nurse</t>
  </si>
  <si>
    <t>Nurse</t>
  </si>
  <si>
    <t>Infirmière</t>
  </si>
  <si>
    <t>Enfimyè</t>
  </si>
  <si>
    <t>che</t>
  </si>
  <si>
    <t>Community Health Entrepreneur</t>
  </si>
  <si>
    <t>${data_from_task} != 'true'</t>
  </si>
  <si>
    <t>nurse_supervisor</t>
  </si>
  <si>
    <t>Nurse Supervisor</t>
  </si>
  <si>
    <t>Infirmière superviseure</t>
  </si>
  <si>
    <t>Sipèvizè Enfimyè</t>
  </si>
  <si>
    <t>patient</t>
  </si>
  <si>
    <t>Patient</t>
  </si>
  <si>
    <t>Pasyan</t>
  </si>
  <si>
    <t>other</t>
  </si>
  <si>
    <t>Other</t>
  </si>
  <si>
    <t>Autre</t>
  </si>
  <si>
    <t>Lòt</t>
  </si>
  <si>
    <t>place_type</t>
  </si>
  <si>
    <t>district_hospital</t>
  </si>
  <si>
    <t>Country Department</t>
  </si>
  <si>
    <t>calculate</t>
  </si>
  <si>
    <t>person_name</t>
  </si>
  <si>
    <t>Depatman peyi a</t>
  </si>
  <si>
    <t>../../person/name</t>
  </si>
  <si>
    <t>Copy to access from within note</t>
  </si>
  <si>
    <t>health_center</t>
  </si>
  <si>
    <t>Supervisor Region</t>
  </si>
  <si>
    <t>person_place_name</t>
  </si>
  <si>
    <t>Rejyon sipèvizyon</t>
  </si>
  <si>
    <t>../name</t>
  </si>
  <si>
    <t>clinic</t>
  </si>
  <si>
    <t>Nurse Zone</t>
  </si>
  <si>
    <t>person_parent</t>
  </si>
  <si>
    <t>Zòn enfimyè</t>
  </si>
  <si>
    <t>Current Place</t>
  </si>
  <si>
    <t>Place actuelle</t>
  </si>
  <si>
    <t>Kote aktyèl</t>
  </si>
  <si>
    <t>select-contact hidden</t>
  </si>
  <si>
    <t>chronic_conditions</t>
  </si>
  <si>
    <t>hypertension</t>
  </si>
  <si>
    <t>${parent}</t>
  </si>
  <si>
    <t>Hypertension</t>
  </si>
  <si>
    <t>Indirection required to be able to change the db field accordingly</t>
  </si>
  <si>
    <t>note</t>
  </si>
  <si>
    <t>note_place</t>
  </si>
  <si>
    <t>${person_name}&amp;nbsp;currently belongs to **${person_place_name}**</t>
  </si>
  <si>
    <t>${person_name}&amp;nbsp;appartient à **${person_place_name}**</t>
  </si>
  <si>
    <t>${person_name}&amp;nbsp;fè pati **${person_place_name}**</t>
  </si>
  <si>
    <t>select_one yes_no</t>
  </si>
  <si>
    <t>change_parent</t>
  </si>
  <si>
    <t>Would you like to move them to another place?</t>
  </si>
  <si>
    <t>Voulez-vous déplacer cette personne vers une autre place ?</t>
  </si>
  <si>
    <t>Èske ou ta renmen deplase moun sa a nan yon lòt kote?</t>
  </si>
  <si>
    <t>columns-pack</t>
  </si>
  <si>
    <t>select_one place_type</t>
  </si>
  <si>
    <t>edited_place_type</t>
  </si>
  <si>
    <t>Search for place by</t>
  </si>
  <si>
    <t>Rechercher par type de place</t>
  </si>
  <si>
    <t>Chèche pa kalite kote</t>
  </si>
  <si>
    <t>selected(${change_parent}, 'true')</t>
  </si>
  <si>
    <t>id_district_hospital</t>
  </si>
  <si>
    <t>Select Health Facillity</t>
  </si>
  <si>
    <t>Choisissez le district</t>
  </si>
  <si>
    <t>Chwazi distri a</t>
  </si>
  <si>
    <t>selected(${change_parent}, 'true') and selected(${edited_place_type}, 'district_hospital')</t>
  </si>
  <si>
    <t>select-contact type-district_hospital bind-id-only</t>
  </si>
  <si>
    <t>District Hospital</t>
  </si>
  <si>
    <t>id_health_center</t>
  </si>
  <si>
    <t>Select Area</t>
  </si>
  <si>
    <t>Choisissez le centre de santé</t>
  </si>
  <si>
    <t>Chwazi sant sante a</t>
  </si>
  <si>
    <t>selected(${change_parent}, 'true') and selected(${edited_place_type}, 'health_center')</t>
  </si>
  <si>
    <t>select-contact type-health_center bind-id-only</t>
  </si>
  <si>
    <t>Health Center</t>
  </si>
  <si>
    <t>id_clinic</t>
  </si>
  <si>
    <t>Select Household</t>
  </si>
  <si>
    <t>Choisissez la zone</t>
  </si>
  <si>
    <t>Chwazi zòn nan</t>
  </si>
  <si>
    <t>selected(${change_parent}, 'true') and selected(${edited_place_type}, 'clinic')</t>
  </si>
  <si>
    <t>select-contact type-clinic bind-id-only</t>
  </si>
  <si>
    <t>Clinic</t>
  </si>
  <si>
    <t>person</t>
  </si>
  <si>
    <t>Modifier personne</t>
  </si>
  <si>
    <t>Modifye moun</t>
  </si>
  <si>
    <t>Upload script will move group to just beneath inputs in data model. Otherwise person is not properly created.</t>
  </si>
  <si>
    <t>parent</t>
  </si>
  <si>
    <t>coalesce(coalesce(coalesce(${id_district_hospital}, ${id_health_center}), ${id_clinic}),${parent})</t>
  </si>
  <si>
    <t>_id</t>
  </si>
  <si>
    <t>Cannot change</t>
  </si>
  <si>
    <t>Full name</t>
  </si>
  <si>
    <t>Non konplè</t>
  </si>
  <si>
    <t>short_name</t>
  </si>
  <si>
    <t>Short name</t>
  </si>
  <si>
    <t>Nom court</t>
  </si>
  <si>
    <t>Ti non</t>
  </si>
  <si>
    <t>no</t>
  </si>
  <si>
    <t>string-length(.) &lt;= 10</t>
  </si>
  <si>
    <t>Please enter a short name that is preferred by the person.</t>
  </si>
  <si>
    <t>Veuillez entrer un nom court préféré par la personne.</t>
  </si>
  <si>
    <t>Tanpri antre yon ti non moun nan prefere.</t>
  </si>
  <si>
    <t>date_of_birth</t>
  </si>
  <si>
    <t>Date of Birth</t>
  </si>
  <si>
    <t>Date de naissance</t>
  </si>
  <si>
    <t>Dat nesans</t>
  </si>
  <si>
    <t>../ephemeral_dob/dob_iso</t>
  </si>
  <si>
    <t>date_of_birth_method</t>
  </si>
  <si>
    <t>Method to select date of birth</t>
  </si>
  <si>
    <t>Méthode de sélection de la date de naissance</t>
  </si>
  <si>
    <t>Metòd pou chwazi dat nesans</t>
  </si>
  <si>
    <t>../ephemeral_dob/dob_method</t>
  </si>
  <si>
    <t>ephemeral_dob</t>
  </si>
  <si>
    <t>date</t>
  </si>
  <si>
    <t>dob_calendar</t>
  </si>
  <si>
    <t>Age</t>
  </si>
  <si>
    <t>Âge</t>
  </si>
  <si>
    <t>Laj</t>
  </si>
  <si>
    <t>not(selected(../dob_method,'approx'))</t>
  </si>
  <si>
    <t>. &lt;= now()</t>
  </si>
  <si>
    <t>age_label</t>
  </si>
  <si>
    <t>**Age**</t>
  </si>
  <si>
    <t>**Âge**</t>
  </si>
  <si>
    <t>**Laj**</t>
  </si>
  <si>
    <t>selected(../dob_method,'approx')</t>
  </si>
  <si>
    <t>integer</t>
  </si>
  <si>
    <t>age_years</t>
  </si>
  <si>
    <t>Years</t>
  </si>
  <si>
    <t>Années</t>
  </si>
  <si>
    <t>Ane</t>
  </si>
  <si>
    <t>. &gt;= 0 and . &lt;= 130</t>
  </si>
  <si>
    <t>age_months</t>
  </si>
  <si>
    <t>Months</t>
  </si>
  <si>
    <t>Mois</t>
  </si>
  <si>
    <t>Mwa</t>
  </si>
  <si>
    <t>. &gt;= 0 and . &lt;= 11</t>
  </si>
  <si>
    <t>select_multiple select_dob_method</t>
  </si>
  <si>
    <t>dob_method</t>
  </si>
  <si>
    <t>DELETE_THIS_LINE</t>
  </si>
  <si>
    <t>columns</t>
  </si>
  <si>
    <t>dob_approx</t>
  </si>
  <si>
    <t>add-date(today(), 0-${age_years}, 0-${age_months})</t>
  </si>
  <si>
    <t>dob_raw</t>
  </si>
  <si>
    <t>if(not(selected( ../dob_method,'approx')), 
../dob_calendar,
../dob_approx)</t>
  </si>
  <si>
    <t>dob_iso</t>
  </si>
  <si>
    <t>format-date-time(../dob_raw,"%Y-%m-%d")</t>
  </si>
  <si>
    <t>dob_debug</t>
  </si>
  <si>
    <t>DOB Approx: ${dob_approx}
DOB Calendar: ${dob_calendar}
DOB ISO: ${dob_iso}</t>
  </si>
  <si>
    <t>tel</t>
  </si>
  <si>
    <t>phone</t>
  </si>
  <si>
    <t>Phone Number</t>
  </si>
  <si>
    <t>Téléphone</t>
  </si>
  <si>
    <t>Nimewo telefòn</t>
  </si>
  <si>
    <t>true()</t>
  </si>
  <si>
    <t>Veuillez entrer un numéro local valide ou utiliser le format international standard, qui comprend un signe plus (+) et le code du pays. Par exemple: +254712345678</t>
  </si>
  <si>
    <t>Tanpri antre yon nimewo lokal ki valab oswa itilize fòma entènasyonal estanda a, ki gen ladan yon siy plis (+) ak kòd peyi a. Pa egzanp: +254712345678</t>
  </si>
  <si>
    <t>phone_alternate</t>
  </si>
  <si>
    <t>Alternate Phone Number</t>
  </si>
  <si>
    <t>Téléphone alternatif</t>
  </si>
  <si>
    <t>Lòt nimewo telefòn</t>
  </si>
  <si>
    <t>select_one male_female</t>
  </si>
  <si>
    <t>sex</t>
  </si>
  <si>
    <t>Sex</t>
  </si>
  <si>
    <t>Sexe</t>
  </si>
  <si>
    <t>Sèks</t>
  </si>
  <si>
    <t>select_one roles</t>
  </si>
  <si>
    <t>role</t>
  </si>
  <si>
    <t>Role</t>
  </si>
  <si>
    <t>Rôle</t>
  </si>
  <si>
    <t>Wòl</t>
  </si>
  <si>
    <t>if(selected(${roles}, 'che'), . = 'patient' or . = 'other', if(selected(${roles}, 'nurse'), . = 'che' or . = 'patient' or . = 'other', if(selected(${roles}, 'nurse_supervisor'), . = 'nurse' or . = 'che' or . = 'patient' or . = 'other', true())))</t>
  </si>
  <si>
    <t>diabetes</t>
  </si>
  <si>
    <t>Diabetes</t>
  </si>
  <si>
    <t>role_other</t>
  </si>
  <si>
    <t>Specify other</t>
  </si>
  <si>
    <t>Autre rôle</t>
  </si>
  <si>
    <t>Presize lòt</t>
  </si>
  <si>
    <t>previous_stroke</t>
  </si>
  <si>
    <t>selected( ${role},'other')</t>
  </si>
  <si>
    <t>Previous Stroke</t>
  </si>
  <si>
    <t>asthma</t>
  </si>
  <si>
    <t>Asthma</t>
  </si>
  <si>
    <t>**Select all that the person has previously been diagnosed with**</t>
  </si>
  <si>
    <t>none</t>
  </si>
  <si>
    <t>None of the above</t>
  </si>
  <si>
    <t>external_id</t>
  </si>
  <si>
    <t>External ID</t>
  </si>
  <si>
    <t>Identifiant externe</t>
  </si>
  <si>
    <t>Idantifyan ekstèn</t>
  </si>
  <si>
    <t>Notes</t>
  </si>
  <si>
    <t>Nòt</t>
  </si>
  <si>
    <t>multiline</t>
  </si>
  <si>
    <t>meta</t>
  </si>
  <si>
    <t>created_by</t>
  </si>
  <si>
    <t>created_by_person_uuid</t>
  </si>
  <si>
    <t>created_by_place_uuid</t>
  </si>
  <si>
    <t>last_edited_by</t>
  </si>
  <si>
    <t>../../../inputs/user/name</t>
  </si>
  <si>
    <t>last_edited_by_person_uuid</t>
  </si>
  <si>
    <t>../../../inputs/user/contact_id</t>
  </si>
  <si>
    <t>last_edited_by_place_uuid</t>
  </si>
  <si>
    <t>../../../inputs/user/facility_id</t>
  </si>
  <si>
    <t>chronic_hypertension</t>
  </si>
  <si>
    <t>selected(${chronic_conditions}, 'hypertension') or selected(${chronic_conditions_task}, 'hypertension')</t>
  </si>
  <si>
    <t>chronic_diabetes</t>
  </si>
  <si>
    <t>selected(${chronic_conditions}, 'diabetes') or selected(${chronic_conditions_task}, 'diabetes')</t>
  </si>
  <si>
    <t>chronic_stroke</t>
  </si>
  <si>
    <t>selected(${chronic_conditions}, 'previous_stroke') or selected(${chronic_conditions_task}, 'previous_stroke')</t>
  </si>
  <si>
    <t>chronic_asthma</t>
  </si>
  <si>
    <t>selected(${chronic_conditions}, 'asthma') or selected(${chronic_conditions_task}, 'asthma')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</si>
</sst>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0" fillId="2" fontId="1" numFmtId="0" xfId="0" applyAlignment="1" applyFill="1" applyFont="1">
      <alignment readingOrder="0"/>
    </xf>
    <xf borderId="0" fillId="0" fontId="3" numFmtId="49" xfId="0" applyFont="1" applyNumberFormat="1"/>
    <xf borderId="1" fillId="2" fontId="1" numFmtId="0" xfId="0" applyAlignment="1" applyBorder="1" applyFill="1" applyFont="1">
      <alignment readingOrder="0"/>
    </xf>
    <xf borderId="1" fillId="3" fontId="3" numFmtId="0" xfId="0" applyBorder="1" applyFill="1" applyFont="1"/>
    <xf borderId="1" fillId="4" fontId="3" numFmtId="0" xfId="0" applyBorder="1" applyFill="1" applyFont="1"/>
    <xf borderId="1" fillId="4" fontId="3" numFmtId="0" xfId="0" applyAlignment="1" applyBorder="1" applyFill="1" applyFont="1">
      <alignment readingOrder="0"/>
    </xf>
    <xf borderId="0" fillId="4" fontId="3" numFmtId="0" xfId="0" applyFill="1" applyFont="1"/>
    <xf borderId="1" fillId="3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readingOrder="0" vertical="bottom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center"/>
    </xf>
    <xf borderId="1" fillId="2" fontId="3" numFmtId="0" xfId="0" applyBorder="1" applyFill="1" applyFont="1"/>
    <xf borderId="0" fillId="2" fontId="3" numFmtId="0" xfId="0" applyFill="1" applyFont="1"/>
    <xf borderId="1" fillId="0" fontId="3" numFmtId="0" xfId="0" applyBorder="1" applyFont="1"/>
    <xf borderId="0" fillId="0" fontId="2" numFmtId="0" xfId="0" applyFont="1"/>
    <xf borderId="0" fillId="2" fontId="3" numFmtId="0" xfId="0" applyFill="1" applyFont="1"/>
    <xf borderId="0" fillId="0" fontId="3" numFmtId="0" xfId="0" applyAlignment="1" applyFont="1">
      <alignment vertical="top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vertical="bottom"/>
    </xf>
    <xf borderId="1" fillId="5" fontId="3" numFmtId="0" xfId="0" applyBorder="1" applyFill="1" applyFont="1"/>
    <xf borderId="1" fillId="2" fontId="3" numFmtId="0" xfId="0" applyAlignment="1" applyBorder="1" applyFill="1" applyFont="1">
      <alignment readingOrder="0"/>
    </xf>
    <xf borderId="0" fillId="0" fontId="3" numFmtId="0" xfId="0" applyAlignment="1" applyFont="1">
      <alignment readingOrder="0" vertical="bottom"/>
    </xf>
    <xf borderId="1" fillId="2" fontId="4" numFmtId="0" xfId="0" applyBorder="1" applyFill="1" applyFont="1"/>
    <xf borderId="1" fillId="2" fontId="3" numFmtId="0" xfId="0" applyAlignment="1" applyBorder="1" applyFill="1" applyFont="1">
      <alignment shrinkToFit="0" wrapText="1"/>
    </xf>
    <xf borderId="1" fillId="2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5" fontId="3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1" fillId="2" fontId="3" numFmtId="0" xfId="0" applyAlignment="1" applyBorder="1" applyFill="1" applyFont="1">
      <alignment shrinkToFit="0" vertical="bottom" wrapText="1"/>
    </xf>
    <xf borderId="0" fillId="2" fontId="3" numFmtId="0" xfId="0" applyAlignment="1" applyFill="1" applyFont="1">
      <alignment vertical="bottom"/>
    </xf>
    <xf borderId="1" fillId="2" fontId="3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29"/>
    <col customWidth="1" min="2" max="2" width="19.71"/>
    <col customWidth="1" min="3" max="3" width="61.14"/>
    <col customWidth="1" min="4" max="5" width="23.14"/>
    <col customWidth="1" min="6" max="6" width="8.71"/>
    <col customWidth="1" min="7" max="7" width="14.57"/>
    <col customWidth="1" min="8" max="8" width="19.57"/>
    <col customWidth="1" min="9" max="9" width="10.71"/>
    <col customWidth="1" min="10" max="11" width="8.71"/>
    <col customWidth="1" min="12" max="13" width="15.43"/>
    <col customWidth="1" min="14" max="14" width="36.71"/>
    <col customWidth="1" min="15" max="15" width="8.71"/>
    <col customWidth="1" min="16" max="16" width="19.71"/>
    <col customWidth="1" min="17" max="18" width="12.14"/>
    <col customWidth="1" min="19" max="39" width="8.71"/>
  </cols>
  <sheetData>
    <row r="1" ht="14.25" customHeight="1">
      <c r="A1" s="1" t="s">
        <v>1</v>
      </c>
      <c r="B1" s="1" t="s">
        <v>10</v>
      </c>
      <c r="C1" s="1" t="s">
        <v>11</v>
      </c>
      <c r="D1" s="3" t="s">
        <v>12</v>
      </c>
      <c r="E1" s="4" t="s">
        <v>13</v>
      </c>
      <c r="F1" s="1" t="s">
        <v>14</v>
      </c>
      <c r="G1" s="1" t="s">
        <v>15</v>
      </c>
      <c r="H1" s="1" t="s">
        <v>16</v>
      </c>
      <c r="I1" s="1" t="s">
        <v>18</v>
      </c>
      <c r="J1" s="1" t="s">
        <v>21</v>
      </c>
      <c r="K1" s="6" t="s">
        <v>22</v>
      </c>
      <c r="L1" s="3" t="s">
        <v>23</v>
      </c>
      <c r="M1" s="4" t="s">
        <v>24</v>
      </c>
      <c r="N1" s="1" t="s">
        <v>25</v>
      </c>
      <c r="O1" s="1" t="s">
        <v>26</v>
      </c>
      <c r="P1" s="1" t="s">
        <v>27</v>
      </c>
      <c r="Q1" s="3" t="s">
        <v>28</v>
      </c>
      <c r="R1" s="4" t="s">
        <v>29</v>
      </c>
      <c r="S1" s="1" t="s">
        <v>30</v>
      </c>
      <c r="T1" s="1" t="s">
        <v>31</v>
      </c>
    </row>
    <row r="2" ht="14.25" customHeight="1">
      <c r="A2" s="7" t="s">
        <v>32</v>
      </c>
      <c r="B2" s="7" t="s">
        <v>33</v>
      </c>
      <c r="C2" s="8" t="s">
        <v>34</v>
      </c>
      <c r="D2" s="8" t="s">
        <v>34</v>
      </c>
      <c r="E2" s="9" t="s">
        <v>34</v>
      </c>
      <c r="F2" s="8"/>
      <c r="G2" s="8" t="s">
        <v>35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/>
      <c r="AH2" s="10"/>
      <c r="AI2" s="10"/>
      <c r="AJ2" s="10"/>
      <c r="AK2" s="10"/>
      <c r="AL2" s="10"/>
      <c r="AM2" s="10"/>
    </row>
    <row r="3" ht="14.25" customHeight="1">
      <c r="A3" s="7" t="s">
        <v>32</v>
      </c>
      <c r="B3" s="7" t="s">
        <v>36</v>
      </c>
      <c r="C3" s="8" t="s">
        <v>34</v>
      </c>
      <c r="D3" s="8" t="s">
        <v>34</v>
      </c>
      <c r="E3" s="9" t="s">
        <v>34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10"/>
      <c r="AH3" s="10"/>
      <c r="AI3" s="10"/>
      <c r="AJ3" s="10"/>
      <c r="AK3" s="10"/>
      <c r="AL3" s="10"/>
      <c r="AM3" s="10"/>
    </row>
    <row r="4" ht="14.25" customHeight="1">
      <c r="A4" s="7" t="s">
        <v>37</v>
      </c>
      <c r="B4" s="7" t="s">
        <v>38</v>
      </c>
      <c r="C4" s="8" t="s">
        <v>39</v>
      </c>
      <c r="D4" s="8" t="s">
        <v>40</v>
      </c>
      <c r="E4" s="9" t="s">
        <v>41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0"/>
      <c r="AH4" s="10"/>
      <c r="AI4" s="10"/>
      <c r="AJ4" s="10"/>
      <c r="AK4" s="10"/>
      <c r="AL4" s="10"/>
      <c r="AM4" s="10"/>
    </row>
    <row r="5" ht="14.25" customHeight="1">
      <c r="A5" s="7" t="s">
        <v>37</v>
      </c>
      <c r="B5" s="7" t="s">
        <v>42</v>
      </c>
      <c r="C5" s="8" t="s">
        <v>43</v>
      </c>
      <c r="D5" s="8" t="s">
        <v>44</v>
      </c>
      <c r="E5" s="9" t="s">
        <v>45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10"/>
      <c r="AH5" s="10"/>
      <c r="AI5" s="10"/>
      <c r="AJ5" s="10"/>
      <c r="AK5" s="10"/>
      <c r="AL5" s="10"/>
      <c r="AM5" s="10"/>
    </row>
    <row r="6" ht="14.25" customHeight="1">
      <c r="A6" s="7" t="s">
        <v>37</v>
      </c>
      <c r="B6" s="7" t="s">
        <v>10</v>
      </c>
      <c r="C6" s="8" t="s">
        <v>46</v>
      </c>
      <c r="D6" s="8" t="s">
        <v>47</v>
      </c>
      <c r="E6" s="9" t="s">
        <v>48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10"/>
      <c r="AH6" s="10"/>
      <c r="AI6" s="10"/>
      <c r="AJ6" s="10"/>
      <c r="AK6" s="10"/>
      <c r="AL6" s="10"/>
      <c r="AM6" s="10"/>
    </row>
    <row r="7" ht="14.25" customHeight="1">
      <c r="A7" s="11" t="s">
        <v>49</v>
      </c>
      <c r="B7" s="11" t="s">
        <v>50</v>
      </c>
      <c r="C7" s="12" t="s">
        <v>34</v>
      </c>
      <c r="D7" s="12" t="s">
        <v>34</v>
      </c>
      <c r="E7" s="13" t="s">
        <v>34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ht="14.25" customHeight="1">
      <c r="A8" s="7" t="s">
        <v>51</v>
      </c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0"/>
      <c r="AH8" s="10"/>
      <c r="AI8" s="10"/>
      <c r="AJ8" s="10"/>
      <c r="AK8" s="10"/>
      <c r="AL8" s="10"/>
      <c r="AM8" s="10"/>
    </row>
    <row r="9" ht="14.25" customHeight="1">
      <c r="A9" s="7" t="s">
        <v>51</v>
      </c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0"/>
      <c r="AH9" s="10"/>
      <c r="AI9" s="10"/>
      <c r="AJ9" s="10"/>
      <c r="AK9" s="10"/>
      <c r="AL9" s="10"/>
      <c r="AM9" s="10"/>
    </row>
    <row r="10" ht="14.25" customHeight="1">
      <c r="D10" s="17"/>
      <c r="E10" s="18"/>
      <c r="L10" s="17"/>
      <c r="M10" s="18"/>
      <c r="Q10" s="17"/>
      <c r="R10" s="18"/>
    </row>
    <row r="11" ht="14.25" customHeight="1">
      <c r="A11" s="15" t="s">
        <v>32</v>
      </c>
      <c r="B11" s="15" t="s">
        <v>55</v>
      </c>
      <c r="D11" s="17"/>
      <c r="E11" s="18"/>
      <c r="L11" s="17"/>
      <c r="M11" s="18"/>
      <c r="Q11" s="17"/>
      <c r="R11" s="18"/>
    </row>
    <row r="12" ht="14.25" customHeight="1">
      <c r="A12" s="15" t="s">
        <v>49</v>
      </c>
      <c r="B12" s="15" t="s">
        <v>56</v>
      </c>
      <c r="C12" s="19" t="s">
        <v>34</v>
      </c>
      <c r="D12" s="19" t="s">
        <v>34</v>
      </c>
      <c r="E12" s="19" t="s">
        <v>34</v>
      </c>
      <c r="L12" s="17"/>
      <c r="M12" s="18"/>
      <c r="Q12" s="17"/>
      <c r="R12" s="18"/>
    </row>
    <row r="13" ht="14.25" customHeight="1">
      <c r="A13" s="15" t="s">
        <v>51</v>
      </c>
      <c r="B13" s="15" t="s">
        <v>55</v>
      </c>
      <c r="D13" s="17"/>
      <c r="E13" s="18"/>
      <c r="L13" s="17"/>
      <c r="M13" s="18"/>
      <c r="Q13" s="17"/>
      <c r="R13" s="18"/>
    </row>
    <row r="14" ht="14.25" customHeight="1">
      <c r="A14" s="15"/>
      <c r="B14" s="15"/>
      <c r="D14" s="17"/>
      <c r="E14" s="18"/>
      <c r="L14" s="17"/>
      <c r="M14" s="18"/>
      <c r="Q14" s="17"/>
      <c r="R14" s="18"/>
    </row>
    <row r="15" ht="14.25" customHeight="1">
      <c r="A15" s="15" t="s">
        <v>32</v>
      </c>
      <c r="B15" s="15" t="s">
        <v>57</v>
      </c>
      <c r="C15" s="15" t="s">
        <v>58</v>
      </c>
      <c r="D15" s="17"/>
      <c r="E15" s="18"/>
      <c r="G15" s="15" t="s">
        <v>59</v>
      </c>
      <c r="H15" s="15" t="s">
        <v>60</v>
      </c>
      <c r="L15" s="17"/>
      <c r="M15" s="18"/>
      <c r="Q15" s="17"/>
      <c r="R15" s="18"/>
    </row>
    <row r="16" ht="14.25" customHeight="1">
      <c r="A16" s="20" t="s">
        <v>61</v>
      </c>
      <c r="B16" s="15" t="s">
        <v>62</v>
      </c>
      <c r="C16" s="15" t="s">
        <v>63</v>
      </c>
      <c r="D16" s="17" t="str">
        <f>IFERROR(__xludf.DUMMYFUNCTION("GOOGLETRANSLATE(C16,""en"",""fr"")"),"**Sélectionnez la maladie chronique à ajouter au profil du patient**")</f>
        <v>**Sélectionnez la maladie chronique à ajouter au profil du patient**</v>
      </c>
      <c r="E16" s="21" t="str">
        <f>IFERROR(__xludf.DUMMYFUNCTION("GOOGLETRANSLATE(C16,""en"",""ht"")"),"**Chwazi ki maladi kwonik pou ajoute nan pwofil pasyan an**")</f>
        <v>**Chwazi ki maladi kwonik pou ajoute nan pwofil pasyan an**</v>
      </c>
      <c r="F16" s="20" t="s">
        <v>64</v>
      </c>
      <c r="G16" s="20"/>
      <c r="H16" s="20"/>
      <c r="I16" s="20"/>
      <c r="J16" s="20"/>
      <c r="K16" s="20"/>
      <c r="L16" s="17"/>
      <c r="M16" s="18"/>
      <c r="N16" s="20"/>
      <c r="O16" s="20"/>
      <c r="P16" s="20"/>
      <c r="Q16" s="17"/>
      <c r="R16" s="18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</row>
    <row r="17" ht="14.25" customHeight="1">
      <c r="A17" s="15" t="s">
        <v>51</v>
      </c>
      <c r="B17" s="15" t="s">
        <v>57</v>
      </c>
      <c r="D17" s="17"/>
      <c r="E17" s="18"/>
      <c r="L17" s="17"/>
      <c r="M17" s="18"/>
      <c r="Q17" s="17"/>
      <c r="R17" s="18"/>
    </row>
    <row r="18" ht="14.25" customHeight="1">
      <c r="D18" s="17"/>
      <c r="E18" s="18"/>
      <c r="L18" s="17"/>
      <c r="M18" s="18"/>
      <c r="Q18" s="17"/>
      <c r="R18" s="18"/>
    </row>
    <row r="19" ht="14.25" customHeight="1">
      <c r="A19" s="27" t="s">
        <v>32</v>
      </c>
      <c r="B19" s="27" t="s">
        <v>95</v>
      </c>
      <c r="C19" s="17" t="s">
        <v>34</v>
      </c>
      <c r="D19" s="17" t="s">
        <v>34</v>
      </c>
      <c r="E19" s="28" t="s">
        <v>34</v>
      </c>
      <c r="F19" s="17"/>
      <c r="G19" s="28" t="s">
        <v>102</v>
      </c>
      <c r="H19" s="17" t="s">
        <v>60</v>
      </c>
      <c r="I19" s="17"/>
      <c r="J19" s="28"/>
      <c r="K19" s="17"/>
      <c r="L19" s="17"/>
      <c r="M19" s="17"/>
      <c r="N19" s="17"/>
      <c r="O19" s="17"/>
      <c r="P19" s="17"/>
      <c r="Q19" s="17"/>
      <c r="R19" s="17"/>
      <c r="S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8"/>
      <c r="AH19" s="18"/>
      <c r="AI19" s="18"/>
      <c r="AJ19" s="18"/>
      <c r="AK19" s="18"/>
      <c r="AL19" s="18"/>
      <c r="AM19" s="18"/>
    </row>
    <row r="20" ht="14.25" customHeight="1">
      <c r="A20" s="27" t="s">
        <v>117</v>
      </c>
      <c r="B20" s="27" t="s">
        <v>118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 t="s">
        <v>120</v>
      </c>
      <c r="O20" s="17"/>
      <c r="P20" s="17"/>
      <c r="Q20" s="17"/>
      <c r="R20" s="17"/>
      <c r="S20" s="17"/>
      <c r="T20" s="17" t="s">
        <v>121</v>
      </c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8"/>
      <c r="AH20" s="18"/>
      <c r="AI20" s="18"/>
      <c r="AJ20" s="18"/>
      <c r="AK20" s="18"/>
      <c r="AL20" s="18"/>
      <c r="AM20" s="18"/>
    </row>
    <row r="21" ht="14.25" customHeight="1">
      <c r="A21" s="27" t="s">
        <v>117</v>
      </c>
      <c r="B21" s="27" t="s">
        <v>124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 t="s">
        <v>126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8"/>
      <c r="AH21" s="18"/>
      <c r="AI21" s="18"/>
      <c r="AJ21" s="18"/>
      <c r="AK21" s="18"/>
      <c r="AL21" s="18"/>
      <c r="AM21" s="18"/>
    </row>
    <row r="22" ht="14.25" customHeight="1">
      <c r="A22" s="27" t="s">
        <v>37</v>
      </c>
      <c r="B22" s="27" t="s">
        <v>129</v>
      </c>
      <c r="C22" s="17" t="s">
        <v>131</v>
      </c>
      <c r="D22" s="17" t="s">
        <v>132</v>
      </c>
      <c r="E22" s="28" t="s">
        <v>133</v>
      </c>
      <c r="F22" s="17"/>
      <c r="G22" s="17"/>
      <c r="H22" s="17" t="s">
        <v>134</v>
      </c>
      <c r="I22" s="17" t="s">
        <v>64</v>
      </c>
      <c r="J22" s="17"/>
      <c r="K22" s="17"/>
      <c r="L22" s="17"/>
      <c r="M22" s="17"/>
      <c r="N22" s="17" t="s">
        <v>137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8"/>
      <c r="AH22" s="18"/>
      <c r="AI22" s="18"/>
      <c r="AJ22" s="18"/>
      <c r="AK22" s="18"/>
      <c r="AL22" s="18"/>
      <c r="AM22" s="18"/>
    </row>
    <row r="23" ht="14.25" customHeight="1">
      <c r="A23" s="27" t="s">
        <v>37</v>
      </c>
      <c r="B23" s="27" t="s">
        <v>1</v>
      </c>
      <c r="C23" s="17" t="s">
        <v>34</v>
      </c>
      <c r="D23" s="17" t="s">
        <v>34</v>
      </c>
      <c r="E23" s="28" t="s">
        <v>34</v>
      </c>
      <c r="F23" s="17"/>
      <c r="G23" s="17"/>
      <c r="H23" s="17" t="s">
        <v>49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 t="s">
        <v>139</v>
      </c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8"/>
      <c r="AH23" s="18"/>
      <c r="AI23" s="18"/>
      <c r="AJ23" s="18"/>
      <c r="AK23" s="18"/>
      <c r="AL23" s="18"/>
      <c r="AM23" s="18"/>
    </row>
    <row r="24" ht="14.25" customHeight="1">
      <c r="A24" s="27" t="s">
        <v>37</v>
      </c>
      <c r="B24" s="27" t="s">
        <v>10</v>
      </c>
      <c r="C24" s="17" t="s">
        <v>34</v>
      </c>
      <c r="D24" s="17" t="s">
        <v>34</v>
      </c>
      <c r="E24" s="28" t="s">
        <v>34</v>
      </c>
      <c r="F24" s="17"/>
      <c r="G24" s="17"/>
      <c r="H24" s="17" t="s">
        <v>49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8"/>
      <c r="AH24" s="18"/>
      <c r="AI24" s="18"/>
      <c r="AJ24" s="18"/>
      <c r="AK24" s="18"/>
      <c r="AL24" s="18"/>
      <c r="AM24" s="18"/>
    </row>
    <row r="25" ht="14.25" customHeight="1">
      <c r="A25" s="27" t="s">
        <v>140</v>
      </c>
      <c r="B25" s="27" t="s">
        <v>141</v>
      </c>
      <c r="C25" s="17" t="s">
        <v>142</v>
      </c>
      <c r="D25" s="17" t="s">
        <v>143</v>
      </c>
      <c r="E25" s="28" t="s">
        <v>144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8"/>
      <c r="AH25" s="18"/>
      <c r="AI25" s="18"/>
      <c r="AJ25" s="18"/>
      <c r="AK25" s="18"/>
      <c r="AL25" s="18"/>
      <c r="AM25" s="18"/>
    </row>
    <row r="26" ht="14.25" customHeight="1">
      <c r="A26" s="27" t="s">
        <v>145</v>
      </c>
      <c r="B26" s="27" t="s">
        <v>146</v>
      </c>
      <c r="C26" s="17" t="s">
        <v>147</v>
      </c>
      <c r="D26" s="17" t="s">
        <v>148</v>
      </c>
      <c r="E26" s="28" t="s">
        <v>149</v>
      </c>
      <c r="F26" s="17" t="s">
        <v>64</v>
      </c>
      <c r="G26" s="17"/>
      <c r="H26" s="17" t="s">
        <v>150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 t="s">
        <v>67</v>
      </c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8"/>
      <c r="AH26" s="18"/>
      <c r="AI26" s="18"/>
      <c r="AJ26" s="18"/>
      <c r="AK26" s="18"/>
      <c r="AL26" s="18"/>
      <c r="AM26" s="18"/>
    </row>
    <row r="27" ht="14.25" customHeight="1">
      <c r="A27" s="27" t="s">
        <v>151</v>
      </c>
      <c r="B27" s="27" t="s">
        <v>152</v>
      </c>
      <c r="C27" s="17" t="s">
        <v>153</v>
      </c>
      <c r="D27" s="17" t="s">
        <v>154</v>
      </c>
      <c r="E27" s="28" t="s">
        <v>155</v>
      </c>
      <c r="F27" s="17" t="s">
        <v>64</v>
      </c>
      <c r="G27" s="17" t="s">
        <v>156</v>
      </c>
      <c r="H27" s="17" t="s">
        <v>150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8"/>
      <c r="AH27" s="18"/>
      <c r="AI27" s="18"/>
      <c r="AJ27" s="18"/>
      <c r="AK27" s="18"/>
      <c r="AL27" s="18"/>
      <c r="AM27" s="18"/>
    </row>
    <row r="28" ht="14.25" customHeight="1">
      <c r="A28" s="27" t="s">
        <v>37</v>
      </c>
      <c r="B28" s="27" t="s">
        <v>157</v>
      </c>
      <c r="C28" s="17" t="s">
        <v>158</v>
      </c>
      <c r="D28" s="17" t="s">
        <v>159</v>
      </c>
      <c r="E28" s="28" t="s">
        <v>160</v>
      </c>
      <c r="F28" s="17" t="s">
        <v>64</v>
      </c>
      <c r="G28" s="17" t="s">
        <v>161</v>
      </c>
      <c r="H28" s="17" t="s">
        <v>162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 t="s">
        <v>163</v>
      </c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8"/>
      <c r="AH28" s="18"/>
      <c r="AI28" s="18"/>
      <c r="AJ28" s="18"/>
      <c r="AK28" s="18"/>
      <c r="AL28" s="18"/>
      <c r="AM28" s="18"/>
    </row>
    <row r="29" ht="14.25" customHeight="1">
      <c r="A29" s="27" t="s">
        <v>37</v>
      </c>
      <c r="B29" s="27" t="s">
        <v>164</v>
      </c>
      <c r="C29" s="17" t="s">
        <v>165</v>
      </c>
      <c r="D29" s="17" t="s">
        <v>166</v>
      </c>
      <c r="E29" s="28" t="s">
        <v>167</v>
      </c>
      <c r="F29" s="17" t="s">
        <v>64</v>
      </c>
      <c r="G29" s="17" t="s">
        <v>168</v>
      </c>
      <c r="H29" s="17" t="s">
        <v>169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 t="s">
        <v>170</v>
      </c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8"/>
      <c r="AH29" s="18"/>
      <c r="AI29" s="18"/>
      <c r="AJ29" s="18"/>
      <c r="AK29" s="18"/>
      <c r="AL29" s="18"/>
      <c r="AM29" s="18"/>
    </row>
    <row r="30" ht="14.25" customHeight="1">
      <c r="A30" s="27" t="s">
        <v>37</v>
      </c>
      <c r="B30" s="27" t="s">
        <v>171</v>
      </c>
      <c r="C30" s="17" t="s">
        <v>172</v>
      </c>
      <c r="D30" s="17" t="s">
        <v>173</v>
      </c>
      <c r="E30" s="28" t="s">
        <v>174</v>
      </c>
      <c r="F30" s="17" t="s">
        <v>64</v>
      </c>
      <c r="G30" s="17" t="s">
        <v>175</v>
      </c>
      <c r="H30" s="17" t="s">
        <v>176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 t="s">
        <v>177</v>
      </c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8"/>
      <c r="AH30" s="18"/>
      <c r="AI30" s="18"/>
      <c r="AJ30" s="18"/>
      <c r="AK30" s="18"/>
      <c r="AL30" s="18"/>
      <c r="AM30" s="18"/>
    </row>
    <row r="31" ht="14.25" customHeight="1">
      <c r="A31" s="27" t="s">
        <v>51</v>
      </c>
      <c r="B31" s="2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8"/>
      <c r="AH31" s="18"/>
      <c r="AI31" s="18"/>
      <c r="AJ31" s="18"/>
      <c r="AK31" s="18"/>
      <c r="AL31" s="18"/>
      <c r="AM31" s="18"/>
    </row>
    <row r="32" ht="14.25" customHeight="1">
      <c r="D32" s="17"/>
      <c r="E32" s="18"/>
      <c r="L32" s="17"/>
      <c r="M32" s="18"/>
      <c r="Q32" s="17"/>
      <c r="R32" s="18"/>
    </row>
    <row r="33" ht="14.25" customHeight="1">
      <c r="A33" s="27" t="s">
        <v>32</v>
      </c>
      <c r="B33" s="27" t="s">
        <v>178</v>
      </c>
      <c r="C33" s="17" t="s">
        <v>8</v>
      </c>
      <c r="D33" s="17" t="s">
        <v>179</v>
      </c>
      <c r="E33" s="28" t="s">
        <v>180</v>
      </c>
      <c r="F33" s="17"/>
      <c r="G33" s="28" t="s">
        <v>102</v>
      </c>
      <c r="H33" s="17" t="s">
        <v>60</v>
      </c>
      <c r="I33" s="17"/>
      <c r="J33" s="28"/>
      <c r="K33" s="17"/>
      <c r="L33" s="17"/>
      <c r="M33" s="17"/>
      <c r="N33" s="17"/>
      <c r="O33" s="17"/>
      <c r="P33" s="17"/>
      <c r="Q33" s="17"/>
      <c r="R33" s="17"/>
      <c r="S33" s="17"/>
      <c r="T33" s="17" t="s">
        <v>181</v>
      </c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8"/>
      <c r="AH33" s="18"/>
      <c r="AI33" s="18"/>
      <c r="AJ33" s="18"/>
      <c r="AK33" s="18"/>
      <c r="AL33" s="18"/>
      <c r="AM33" s="18"/>
    </row>
    <row r="34" ht="14.25" customHeight="1">
      <c r="A34" s="27" t="s">
        <v>117</v>
      </c>
      <c r="B34" s="27" t="s">
        <v>182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 t="s">
        <v>183</v>
      </c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8"/>
      <c r="AH34" s="18"/>
      <c r="AI34" s="18"/>
      <c r="AJ34" s="18"/>
      <c r="AK34" s="18"/>
      <c r="AL34" s="18"/>
      <c r="AM34" s="18"/>
    </row>
    <row r="35" ht="14.25" customHeight="1">
      <c r="A35" s="27" t="s">
        <v>49</v>
      </c>
      <c r="B35" s="27" t="s">
        <v>184</v>
      </c>
      <c r="C35" s="17" t="s">
        <v>34</v>
      </c>
      <c r="D35" s="17" t="s">
        <v>34</v>
      </c>
      <c r="E35" s="28" t="s">
        <v>34</v>
      </c>
      <c r="F35" s="17"/>
      <c r="G35" s="17"/>
      <c r="H35" s="17"/>
      <c r="I35" s="17" t="s">
        <v>64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 t="s">
        <v>185</v>
      </c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8"/>
      <c r="AH35" s="18"/>
      <c r="AI35" s="18"/>
      <c r="AJ35" s="18"/>
      <c r="AK35" s="18"/>
      <c r="AL35" s="18"/>
      <c r="AM35" s="18"/>
    </row>
    <row r="36" ht="14.25" customHeight="1">
      <c r="A36" s="27" t="s">
        <v>49</v>
      </c>
      <c r="B36" s="27" t="s">
        <v>1</v>
      </c>
      <c r="C36" s="17" t="s">
        <v>34</v>
      </c>
      <c r="D36" s="17" t="s">
        <v>34</v>
      </c>
      <c r="E36" s="28" t="s">
        <v>34</v>
      </c>
      <c r="F36" s="17"/>
      <c r="G36" s="17"/>
      <c r="H36" s="17"/>
      <c r="I36" s="17" t="s">
        <v>64</v>
      </c>
      <c r="J36" s="17"/>
      <c r="K36" s="17"/>
      <c r="L36" s="17"/>
      <c r="M36" s="17"/>
      <c r="N36" s="17"/>
      <c r="O36" s="17"/>
      <c r="P36" s="17"/>
      <c r="Q36" s="17"/>
      <c r="R36" s="17"/>
      <c r="S36" s="17" t="s">
        <v>178</v>
      </c>
      <c r="T36" s="17" t="s">
        <v>185</v>
      </c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8"/>
      <c r="AH36" s="18"/>
      <c r="AI36" s="18"/>
      <c r="AJ36" s="18"/>
      <c r="AK36" s="18"/>
      <c r="AL36" s="18"/>
      <c r="AM36" s="18"/>
    </row>
    <row r="37" ht="14.25" customHeight="1">
      <c r="A37" s="27" t="s">
        <v>37</v>
      </c>
      <c r="B37" s="27" t="s">
        <v>10</v>
      </c>
      <c r="C37" s="17" t="s">
        <v>186</v>
      </c>
      <c r="D37" s="17" t="s">
        <v>47</v>
      </c>
      <c r="E37" s="28" t="s">
        <v>187</v>
      </c>
      <c r="F37" s="17" t="s">
        <v>64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8"/>
      <c r="AH37" s="18"/>
      <c r="AI37" s="18"/>
      <c r="AJ37" s="18"/>
      <c r="AK37" s="18"/>
      <c r="AL37" s="18"/>
      <c r="AM37" s="18"/>
    </row>
    <row r="38" ht="14.25" customHeight="1">
      <c r="A38" s="27" t="s">
        <v>37</v>
      </c>
      <c r="B38" s="27" t="s">
        <v>188</v>
      </c>
      <c r="C38" s="17" t="s">
        <v>189</v>
      </c>
      <c r="D38" s="28" t="s">
        <v>190</v>
      </c>
      <c r="E38" s="28" t="s">
        <v>191</v>
      </c>
      <c r="F38" s="17" t="s">
        <v>192</v>
      </c>
      <c r="G38" s="17"/>
      <c r="H38" s="17"/>
      <c r="I38" s="17"/>
      <c r="J38" s="17" t="s">
        <v>193</v>
      </c>
      <c r="K38" s="17"/>
      <c r="L38" s="17"/>
      <c r="M38" s="17"/>
      <c r="N38" s="17"/>
      <c r="O38" s="17"/>
      <c r="P38" s="30" t="s">
        <v>194</v>
      </c>
      <c r="Q38" s="28" t="s">
        <v>195</v>
      </c>
      <c r="R38" s="28" t="s">
        <v>196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8"/>
      <c r="AH38" s="18"/>
      <c r="AI38" s="18"/>
      <c r="AJ38" s="18"/>
      <c r="AK38" s="18"/>
      <c r="AL38" s="18"/>
      <c r="AM38" s="18"/>
    </row>
    <row r="39" ht="14.25" customHeight="1">
      <c r="A39" s="27" t="s">
        <v>117</v>
      </c>
      <c r="B39" s="27" t="s">
        <v>197</v>
      </c>
      <c r="C39" s="17" t="s">
        <v>198</v>
      </c>
      <c r="D39" s="28" t="s">
        <v>199</v>
      </c>
      <c r="E39" s="28" t="s">
        <v>200</v>
      </c>
      <c r="F39" s="17" t="s">
        <v>64</v>
      </c>
      <c r="G39" s="17"/>
      <c r="H39" s="17"/>
      <c r="I39" s="17"/>
      <c r="J39" s="17"/>
      <c r="K39" s="17"/>
      <c r="L39" s="17"/>
      <c r="M39" s="17"/>
      <c r="N39" s="17" t="s">
        <v>201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8"/>
      <c r="AH39" s="18"/>
      <c r="AI39" s="18"/>
      <c r="AJ39" s="18"/>
      <c r="AK39" s="18"/>
      <c r="AL39" s="18"/>
      <c r="AM39" s="18"/>
    </row>
    <row r="40" ht="14.25" customHeight="1">
      <c r="A40" s="27" t="s">
        <v>117</v>
      </c>
      <c r="B40" s="27" t="s">
        <v>202</v>
      </c>
      <c r="C40" s="17" t="s">
        <v>203</v>
      </c>
      <c r="D40" s="28" t="s">
        <v>204</v>
      </c>
      <c r="E40" s="28" t="s">
        <v>205</v>
      </c>
      <c r="F40" s="17"/>
      <c r="G40" s="17"/>
      <c r="H40" s="17"/>
      <c r="I40" s="17"/>
      <c r="J40" s="17"/>
      <c r="K40" s="17"/>
      <c r="L40" s="17"/>
      <c r="M40" s="17"/>
      <c r="N40" s="17" t="s">
        <v>206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8"/>
      <c r="AH40" s="18"/>
      <c r="AI40" s="18"/>
      <c r="AJ40" s="18"/>
      <c r="AK40" s="18"/>
      <c r="AL40" s="18"/>
      <c r="AM40" s="18"/>
    </row>
    <row r="41" ht="14.25" customHeight="1">
      <c r="A41" s="27" t="s">
        <v>32</v>
      </c>
      <c r="B41" s="27" t="s">
        <v>207</v>
      </c>
      <c r="C41" s="17" t="s">
        <v>34</v>
      </c>
      <c r="D41" s="28" t="s">
        <v>34</v>
      </c>
      <c r="E41" s="28" t="s">
        <v>34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8"/>
      <c r="AH41" s="18"/>
      <c r="AI41" s="18"/>
      <c r="AJ41" s="18"/>
      <c r="AK41" s="18"/>
      <c r="AL41" s="18"/>
      <c r="AM41" s="18"/>
    </row>
    <row r="42" ht="14.25" customHeight="1">
      <c r="A42" s="27" t="s">
        <v>208</v>
      </c>
      <c r="B42" s="27" t="s">
        <v>209</v>
      </c>
      <c r="C42" s="17" t="s">
        <v>210</v>
      </c>
      <c r="D42" s="28" t="s">
        <v>211</v>
      </c>
      <c r="E42" s="28" t="s">
        <v>212</v>
      </c>
      <c r="F42" s="17" t="s">
        <v>64</v>
      </c>
      <c r="G42" s="17" t="s">
        <v>213</v>
      </c>
      <c r="H42" s="17"/>
      <c r="I42" s="17"/>
      <c r="J42" s="17" t="s">
        <v>214</v>
      </c>
      <c r="K42" s="17"/>
      <c r="L42" s="17"/>
      <c r="M42" s="17"/>
      <c r="N42" s="17"/>
      <c r="O42" s="17"/>
      <c r="P42" s="17" t="s">
        <v>198</v>
      </c>
      <c r="Q42" s="28" t="s">
        <v>199</v>
      </c>
      <c r="R42" s="28" t="s">
        <v>200</v>
      </c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8"/>
      <c r="AH42" s="18"/>
      <c r="AI42" s="18"/>
      <c r="AJ42" s="18"/>
      <c r="AK42" s="18"/>
      <c r="AL42" s="18"/>
      <c r="AM42" s="18"/>
    </row>
    <row r="43" ht="14.25" customHeight="1">
      <c r="A43" s="27" t="s">
        <v>140</v>
      </c>
      <c r="B43" s="27" t="s">
        <v>215</v>
      </c>
      <c r="C43" s="17" t="s">
        <v>216</v>
      </c>
      <c r="D43" s="28" t="s">
        <v>217</v>
      </c>
      <c r="E43" s="28" t="s">
        <v>218</v>
      </c>
      <c r="F43" s="17"/>
      <c r="G43" s="17" t="s">
        <v>219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8"/>
      <c r="AH43" s="18"/>
      <c r="AI43" s="18"/>
      <c r="AJ43" s="18"/>
      <c r="AK43" s="18"/>
      <c r="AL43" s="18"/>
      <c r="AM43" s="18"/>
    </row>
    <row r="44" ht="14.25" customHeight="1">
      <c r="A44" s="27" t="s">
        <v>220</v>
      </c>
      <c r="B44" s="27" t="s">
        <v>221</v>
      </c>
      <c r="C44" s="17" t="s">
        <v>222</v>
      </c>
      <c r="D44" s="28" t="s">
        <v>223</v>
      </c>
      <c r="E44" s="28" t="s">
        <v>224</v>
      </c>
      <c r="F44" s="17" t="s">
        <v>64</v>
      </c>
      <c r="G44" s="17" t="s">
        <v>219</v>
      </c>
      <c r="H44" s="17"/>
      <c r="I44" s="17"/>
      <c r="J44" s="17" t="s">
        <v>225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8"/>
      <c r="AH44" s="18"/>
      <c r="AI44" s="18"/>
      <c r="AJ44" s="18"/>
      <c r="AK44" s="18"/>
      <c r="AL44" s="18"/>
      <c r="AM44" s="18"/>
    </row>
    <row r="45" ht="14.25" customHeight="1">
      <c r="A45" s="27" t="s">
        <v>220</v>
      </c>
      <c r="B45" s="27" t="s">
        <v>226</v>
      </c>
      <c r="C45" s="17" t="s">
        <v>227</v>
      </c>
      <c r="D45" s="28" t="s">
        <v>228</v>
      </c>
      <c r="E45" s="28" t="s">
        <v>229</v>
      </c>
      <c r="F45" s="17"/>
      <c r="G45" s="17" t="s">
        <v>219</v>
      </c>
      <c r="H45" s="17"/>
      <c r="I45" s="17"/>
      <c r="J45" s="17" t="s">
        <v>230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8"/>
      <c r="AH45" s="18"/>
      <c r="AI45" s="18"/>
      <c r="AJ45" s="18"/>
      <c r="AK45" s="18"/>
      <c r="AL45" s="18"/>
      <c r="AM45" s="18"/>
    </row>
    <row r="46" ht="14.25" customHeight="1">
      <c r="A46" s="27" t="s">
        <v>231</v>
      </c>
      <c r="B46" s="27" t="s">
        <v>232</v>
      </c>
      <c r="C46" s="17" t="s">
        <v>233</v>
      </c>
      <c r="D46" s="28" t="s">
        <v>233</v>
      </c>
      <c r="E46" s="28" t="s">
        <v>233</v>
      </c>
      <c r="F46" s="17"/>
      <c r="G46" s="17"/>
      <c r="H46" s="17" t="s">
        <v>234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8"/>
      <c r="AH46" s="18"/>
      <c r="AI46" s="18"/>
      <c r="AJ46" s="18"/>
      <c r="AK46" s="18"/>
      <c r="AL46" s="18"/>
      <c r="AM46" s="18"/>
    </row>
    <row r="47" ht="14.25" customHeight="1">
      <c r="A47" s="27" t="s">
        <v>117</v>
      </c>
      <c r="B47" s="27" t="s">
        <v>235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 t="s">
        <v>236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8"/>
      <c r="AH47" s="18"/>
      <c r="AI47" s="18"/>
      <c r="AJ47" s="18"/>
      <c r="AK47" s="18"/>
      <c r="AL47" s="18"/>
      <c r="AM47" s="18"/>
    </row>
    <row r="48" ht="14.25" customHeight="1">
      <c r="A48" s="27" t="s">
        <v>117</v>
      </c>
      <c r="B48" s="27" t="s">
        <v>237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31" t="s">
        <v>238</v>
      </c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8"/>
      <c r="AH48" s="18"/>
      <c r="AI48" s="18"/>
      <c r="AJ48" s="18"/>
      <c r="AK48" s="18"/>
      <c r="AL48" s="18"/>
      <c r="AM48" s="18"/>
    </row>
    <row r="49" ht="14.25" customHeight="1">
      <c r="A49" s="27" t="s">
        <v>117</v>
      </c>
      <c r="B49" s="27" t="s">
        <v>239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 t="s">
        <v>240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8"/>
      <c r="AH49" s="18"/>
      <c r="AI49" s="18"/>
      <c r="AJ49" s="18"/>
      <c r="AK49" s="18"/>
      <c r="AL49" s="18"/>
      <c r="AM49" s="18"/>
    </row>
    <row r="50" ht="14.25" customHeight="1">
      <c r="A50" s="27" t="s">
        <v>140</v>
      </c>
      <c r="B50" s="27" t="s">
        <v>241</v>
      </c>
      <c r="C50" s="31" t="s">
        <v>242</v>
      </c>
      <c r="D50" s="17"/>
      <c r="E50" s="17"/>
      <c r="F50" s="17"/>
      <c r="G50" s="17" t="s">
        <v>35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8"/>
      <c r="AH50" s="18"/>
      <c r="AI50" s="18"/>
      <c r="AJ50" s="18"/>
      <c r="AK50" s="18"/>
      <c r="AL50" s="18"/>
      <c r="AM50" s="18"/>
    </row>
    <row r="51" ht="14.25" customHeight="1">
      <c r="A51" s="27" t="s">
        <v>51</v>
      </c>
      <c r="B51" s="2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8"/>
      <c r="AH51" s="18"/>
      <c r="AI51" s="18"/>
      <c r="AJ51" s="18"/>
      <c r="AK51" s="18"/>
      <c r="AL51" s="18"/>
      <c r="AM51" s="18"/>
    </row>
    <row r="52" ht="14.25" customHeight="1">
      <c r="A52" s="27" t="s">
        <v>243</v>
      </c>
      <c r="B52" s="27" t="s">
        <v>244</v>
      </c>
      <c r="C52" s="17" t="s">
        <v>245</v>
      </c>
      <c r="D52" s="17" t="s">
        <v>246</v>
      </c>
      <c r="E52" s="28" t="s">
        <v>247</v>
      </c>
      <c r="F52" s="17"/>
      <c r="G52" s="17"/>
      <c r="H52" s="17"/>
      <c r="I52" s="17"/>
      <c r="J52" s="17" t="s">
        <v>248</v>
      </c>
      <c r="K52" s="17"/>
      <c r="L52" s="17" t="s">
        <v>249</v>
      </c>
      <c r="M52" s="28" t="s">
        <v>250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8"/>
      <c r="AH52" s="18"/>
      <c r="AI52" s="18"/>
      <c r="AJ52" s="18"/>
      <c r="AK52" s="18"/>
      <c r="AL52" s="18"/>
      <c r="AM52" s="18"/>
    </row>
    <row r="53" ht="14.25" customHeight="1">
      <c r="A53" s="27" t="s">
        <v>243</v>
      </c>
      <c r="B53" s="27" t="s">
        <v>251</v>
      </c>
      <c r="C53" s="17" t="s">
        <v>252</v>
      </c>
      <c r="D53" s="17" t="s">
        <v>253</v>
      </c>
      <c r="E53" s="28" t="s">
        <v>254</v>
      </c>
      <c r="F53" s="17"/>
      <c r="G53" s="17"/>
      <c r="H53" s="17"/>
      <c r="I53" s="17"/>
      <c r="J53" s="17" t="s">
        <v>248</v>
      </c>
      <c r="K53" s="17"/>
      <c r="L53" s="17" t="s">
        <v>249</v>
      </c>
      <c r="M53" s="28" t="s">
        <v>250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8"/>
      <c r="AH53" s="18"/>
      <c r="AI53" s="18"/>
      <c r="AJ53" s="18"/>
      <c r="AK53" s="18"/>
      <c r="AL53" s="18"/>
      <c r="AM53" s="18"/>
    </row>
    <row r="54" ht="14.25" customHeight="1">
      <c r="A54" s="27" t="s">
        <v>255</v>
      </c>
      <c r="B54" s="27" t="s">
        <v>256</v>
      </c>
      <c r="C54" s="17" t="s">
        <v>257</v>
      </c>
      <c r="D54" s="17" t="s">
        <v>258</v>
      </c>
      <c r="E54" s="28" t="s">
        <v>259</v>
      </c>
      <c r="F54" s="17"/>
      <c r="G54" s="17"/>
      <c r="H54" s="17" t="s">
        <v>234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8"/>
      <c r="AH54" s="18"/>
      <c r="AI54" s="18"/>
      <c r="AJ54" s="18"/>
      <c r="AK54" s="18"/>
      <c r="AL54" s="18"/>
      <c r="AM54" s="18"/>
    </row>
    <row r="55" ht="14.25" customHeight="1">
      <c r="A55" s="27" t="s">
        <v>260</v>
      </c>
      <c r="B55" s="27" t="s">
        <v>261</v>
      </c>
      <c r="C55" s="17" t="s">
        <v>262</v>
      </c>
      <c r="D55" s="17" t="s">
        <v>263</v>
      </c>
      <c r="E55" s="28" t="s">
        <v>264</v>
      </c>
      <c r="F55" s="17"/>
      <c r="G55" s="17"/>
      <c r="H55" s="17"/>
      <c r="I55" s="17"/>
      <c r="J55" s="28" t="s">
        <v>265</v>
      </c>
      <c r="K55" s="28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8"/>
      <c r="AH55" s="18"/>
      <c r="AI55" s="18"/>
      <c r="AJ55" s="18"/>
      <c r="AK55" s="18"/>
      <c r="AL55" s="18"/>
      <c r="AM55" s="18"/>
    </row>
    <row r="56" ht="14.25" customHeight="1">
      <c r="A56" s="27" t="s">
        <v>37</v>
      </c>
      <c r="B56" s="27" t="s">
        <v>268</v>
      </c>
      <c r="C56" s="17" t="s">
        <v>269</v>
      </c>
      <c r="D56" s="17" t="s">
        <v>270</v>
      </c>
      <c r="E56" s="28" t="s">
        <v>271</v>
      </c>
      <c r="F56" s="17" t="s">
        <v>64</v>
      </c>
      <c r="G56" s="17" t="s">
        <v>273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8"/>
      <c r="AH56" s="18"/>
      <c r="AI56" s="18"/>
      <c r="AJ56" s="18"/>
      <c r="AK56" s="18"/>
      <c r="AL56" s="18"/>
      <c r="AM56" s="18"/>
    </row>
    <row r="57" ht="14.25" customHeight="1">
      <c r="A57" s="34" t="s">
        <v>61</v>
      </c>
      <c r="B57" s="34" t="s">
        <v>135</v>
      </c>
      <c r="C57" s="26" t="s">
        <v>277</v>
      </c>
      <c r="D57" s="35" t="str">
        <f>IFERROR(__xludf.DUMMYFUNCTION("GOOGLETRANSLATE(C57,""en"",""fr"")"),"**Sélectionnez tous les diagnostics antérieurs de la personne.**")</f>
        <v>**Sélectionnez tous les diagnostics antérieurs de la personne.**</v>
      </c>
      <c r="E57" s="36" t="str">
        <f>IFERROR(__xludf.DUMMYFUNCTION("GOOGLETRANSLATE(C57,""en"",""ht"")"),"**Chwazi tout sa moun nan te deja dyagnostike avèk yo**")</f>
        <v>**Chwazi tout sa moun nan te deja dyagnostike avèk yo**</v>
      </c>
      <c r="F57" s="26" t="s">
        <v>64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37"/>
      <c r="AH57" s="37"/>
      <c r="AI57" s="37"/>
      <c r="AJ57" s="37"/>
      <c r="AK57" s="37"/>
      <c r="AL57" s="37"/>
      <c r="AM57" s="18"/>
    </row>
    <row r="58" ht="14.25" customHeight="1">
      <c r="A58" s="27" t="s">
        <v>37</v>
      </c>
      <c r="B58" s="27" t="s">
        <v>280</v>
      </c>
      <c r="C58" s="17" t="s">
        <v>281</v>
      </c>
      <c r="D58" s="17" t="s">
        <v>282</v>
      </c>
      <c r="E58" s="28" t="s">
        <v>283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8"/>
      <c r="AH58" s="18"/>
      <c r="AI58" s="18"/>
      <c r="AJ58" s="18"/>
      <c r="AK58" s="18"/>
      <c r="AL58" s="18"/>
      <c r="AM58" s="18"/>
    </row>
    <row r="59" ht="14.25" customHeight="1">
      <c r="A59" s="27" t="s">
        <v>37</v>
      </c>
      <c r="B59" s="27" t="s">
        <v>31</v>
      </c>
      <c r="C59" s="17" t="s">
        <v>284</v>
      </c>
      <c r="D59" s="17" t="s">
        <v>284</v>
      </c>
      <c r="E59" s="28" t="s">
        <v>285</v>
      </c>
      <c r="F59" s="17"/>
      <c r="G59" s="17"/>
      <c r="H59" s="17" t="s">
        <v>286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8"/>
      <c r="AH59" s="18"/>
      <c r="AI59" s="18"/>
      <c r="AJ59" s="18"/>
      <c r="AK59" s="18"/>
      <c r="AL59" s="18"/>
      <c r="AM59" s="18"/>
    </row>
    <row r="60" ht="14.25" customHeight="1">
      <c r="A60" s="27" t="s">
        <v>32</v>
      </c>
      <c r="B60" s="27" t="s">
        <v>287</v>
      </c>
      <c r="C60" s="17" t="s">
        <v>34</v>
      </c>
      <c r="D60" s="17" t="s">
        <v>34</v>
      </c>
      <c r="E60" s="28" t="s">
        <v>34</v>
      </c>
      <c r="F60" s="17"/>
      <c r="G60" s="17"/>
      <c r="H60" s="17" t="s">
        <v>49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8"/>
      <c r="AH60" s="18"/>
      <c r="AI60" s="18"/>
      <c r="AJ60" s="18"/>
      <c r="AK60" s="18"/>
      <c r="AL60" s="18"/>
      <c r="AM60" s="18"/>
    </row>
    <row r="61" ht="14.25" customHeight="1">
      <c r="A61" s="27" t="s">
        <v>49</v>
      </c>
      <c r="B61" s="27" t="s">
        <v>288</v>
      </c>
      <c r="C61" s="17" t="s">
        <v>34</v>
      </c>
      <c r="D61" s="17" t="s">
        <v>34</v>
      </c>
      <c r="E61" s="28" t="s">
        <v>34</v>
      </c>
      <c r="F61" s="17"/>
      <c r="G61" s="17"/>
      <c r="H61" s="17"/>
      <c r="I61" s="17" t="s">
        <v>64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8"/>
      <c r="AH61" s="18"/>
      <c r="AI61" s="18"/>
      <c r="AJ61" s="18"/>
      <c r="AK61" s="18"/>
      <c r="AL61" s="18"/>
      <c r="AM61" s="18"/>
    </row>
    <row r="62" ht="14.25" customHeight="1">
      <c r="A62" s="27" t="s">
        <v>49</v>
      </c>
      <c r="B62" s="27" t="s">
        <v>289</v>
      </c>
      <c r="C62" s="17" t="s">
        <v>34</v>
      </c>
      <c r="D62" s="17" t="s">
        <v>34</v>
      </c>
      <c r="E62" s="28" t="s">
        <v>34</v>
      </c>
      <c r="F62" s="17"/>
      <c r="G62" s="17"/>
      <c r="H62" s="17"/>
      <c r="I62" s="17" t="s">
        <v>64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8"/>
      <c r="AH62" s="18"/>
      <c r="AI62" s="18"/>
      <c r="AJ62" s="18"/>
      <c r="AK62" s="18"/>
      <c r="AL62" s="18"/>
      <c r="AM62" s="18"/>
    </row>
    <row r="63" ht="14.25" customHeight="1">
      <c r="A63" s="27" t="s">
        <v>49</v>
      </c>
      <c r="B63" s="27" t="s">
        <v>290</v>
      </c>
      <c r="C63" s="17" t="s">
        <v>34</v>
      </c>
      <c r="D63" s="17" t="s">
        <v>34</v>
      </c>
      <c r="E63" s="28" t="s">
        <v>34</v>
      </c>
      <c r="F63" s="17"/>
      <c r="G63" s="17"/>
      <c r="H63" s="17"/>
      <c r="I63" s="17" t="s">
        <v>64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8"/>
      <c r="AH63" s="18"/>
      <c r="AI63" s="18"/>
      <c r="AJ63" s="18"/>
      <c r="AK63" s="18"/>
      <c r="AL63" s="18"/>
      <c r="AM63" s="18"/>
    </row>
    <row r="64" ht="14.25" customHeight="1">
      <c r="A64" s="27" t="s">
        <v>117</v>
      </c>
      <c r="B64" s="27" t="s">
        <v>291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 t="s">
        <v>292</v>
      </c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8"/>
      <c r="AH64" s="18"/>
      <c r="AI64" s="18"/>
      <c r="AJ64" s="18"/>
      <c r="AK64" s="18"/>
      <c r="AL64" s="18"/>
      <c r="AM64" s="18"/>
    </row>
    <row r="65" ht="14.25" customHeight="1">
      <c r="A65" s="27" t="s">
        <v>117</v>
      </c>
      <c r="B65" s="27" t="s">
        <v>293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 t="s">
        <v>294</v>
      </c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8"/>
      <c r="AH65" s="18"/>
      <c r="AI65" s="18"/>
      <c r="AJ65" s="18"/>
      <c r="AK65" s="18"/>
      <c r="AL65" s="18"/>
      <c r="AM65" s="18"/>
    </row>
    <row r="66" ht="14.25" customHeight="1">
      <c r="A66" s="27" t="s">
        <v>117</v>
      </c>
      <c r="B66" s="27" t="s">
        <v>295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 t="s">
        <v>296</v>
      </c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8"/>
      <c r="AH66" s="18"/>
      <c r="AI66" s="18"/>
      <c r="AJ66" s="18"/>
      <c r="AK66" s="18"/>
      <c r="AL66" s="18"/>
      <c r="AM66" s="18"/>
    </row>
    <row r="67" ht="14.25" customHeight="1">
      <c r="A67" s="27" t="s">
        <v>51</v>
      </c>
      <c r="B67" s="2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8"/>
      <c r="AH67" s="18"/>
      <c r="AI67" s="18"/>
      <c r="AJ67" s="18"/>
      <c r="AK67" s="18"/>
      <c r="AL67" s="18"/>
      <c r="AM67" s="18"/>
    </row>
    <row r="68" ht="14.25" customHeight="1">
      <c r="A68" s="27" t="s">
        <v>51</v>
      </c>
      <c r="B68" s="2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8"/>
      <c r="AH68" s="18"/>
      <c r="AI68" s="18"/>
      <c r="AJ68" s="18"/>
      <c r="AK68" s="18"/>
      <c r="AL68" s="18"/>
      <c r="AM68" s="18"/>
    </row>
    <row r="69" ht="14.25" customHeight="1"/>
    <row r="70" ht="14.25" customHeight="1">
      <c r="A70" s="34" t="s">
        <v>117</v>
      </c>
      <c r="B70" s="34" t="s">
        <v>297</v>
      </c>
      <c r="C70" s="26" t="s">
        <v>34</v>
      </c>
      <c r="D70" s="26"/>
      <c r="E70" s="38"/>
      <c r="F70" s="26"/>
      <c r="G70" s="26"/>
      <c r="H70" s="26"/>
      <c r="I70" s="26"/>
      <c r="J70" s="26"/>
      <c r="K70" s="26"/>
      <c r="L70" s="26"/>
      <c r="M70" s="26"/>
      <c r="N70" s="39" t="s">
        <v>298</v>
      </c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37"/>
      <c r="AH70" s="37"/>
      <c r="AI70" s="37"/>
      <c r="AJ70" s="37"/>
      <c r="AK70" s="37"/>
      <c r="AL70" s="37"/>
      <c r="AM70" s="18"/>
    </row>
    <row r="71" ht="14.25" customHeight="1">
      <c r="A71" s="34" t="s">
        <v>117</v>
      </c>
      <c r="B71" s="34" t="s">
        <v>299</v>
      </c>
      <c r="C71" s="26" t="s">
        <v>34</v>
      </c>
      <c r="D71" s="26"/>
      <c r="E71" s="38"/>
      <c r="F71" s="26"/>
      <c r="G71" s="26"/>
      <c r="H71" s="26"/>
      <c r="I71" s="26"/>
      <c r="J71" s="26"/>
      <c r="K71" s="26"/>
      <c r="L71" s="26"/>
      <c r="M71" s="26"/>
      <c r="N71" s="39" t="s">
        <v>300</v>
      </c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37"/>
      <c r="AH71" s="37"/>
      <c r="AI71" s="37"/>
      <c r="AJ71" s="37"/>
      <c r="AK71" s="37"/>
      <c r="AL71" s="37"/>
      <c r="AM71" s="18"/>
    </row>
    <row r="72" ht="14.25" customHeight="1">
      <c r="A72" s="34" t="s">
        <v>117</v>
      </c>
      <c r="B72" s="34" t="s">
        <v>301</v>
      </c>
      <c r="C72" s="26" t="s">
        <v>34</v>
      </c>
      <c r="D72" s="26"/>
      <c r="E72" s="38"/>
      <c r="F72" s="26"/>
      <c r="G72" s="26"/>
      <c r="H72" s="26"/>
      <c r="I72" s="26"/>
      <c r="J72" s="26"/>
      <c r="K72" s="26"/>
      <c r="L72" s="26"/>
      <c r="M72" s="26"/>
      <c r="N72" s="39" t="s">
        <v>302</v>
      </c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37"/>
      <c r="AH72" s="37"/>
      <c r="AI72" s="37"/>
      <c r="AJ72" s="37"/>
      <c r="AK72" s="37"/>
      <c r="AL72" s="37"/>
      <c r="AM72" s="18"/>
    </row>
    <row r="73" ht="14.25" customHeight="1">
      <c r="A73" s="34" t="s">
        <v>117</v>
      </c>
      <c r="B73" s="34" t="s">
        <v>303</v>
      </c>
      <c r="C73" s="26" t="s">
        <v>34</v>
      </c>
      <c r="D73" s="26"/>
      <c r="E73" s="38"/>
      <c r="F73" s="26"/>
      <c r="G73" s="26"/>
      <c r="H73" s="26"/>
      <c r="I73" s="26"/>
      <c r="J73" s="26"/>
      <c r="K73" s="26"/>
      <c r="L73" s="26"/>
      <c r="M73" s="26"/>
      <c r="N73" s="39" t="s">
        <v>304</v>
      </c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37"/>
      <c r="AH73" s="37"/>
      <c r="AI73" s="37"/>
      <c r="AJ73" s="37"/>
      <c r="AK73" s="37"/>
      <c r="AL73" s="37"/>
      <c r="AM73" s="18"/>
    </row>
    <row r="74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9.71"/>
    <col customWidth="1" min="3" max="3" width="29.57"/>
    <col customWidth="1" min="4" max="4" width="7.71"/>
  </cols>
  <sheetData>
    <row r="1" ht="14.25" customHeight="1">
      <c r="A1" s="14" t="s">
        <v>2</v>
      </c>
      <c r="B1" s="14" t="s">
        <v>10</v>
      </c>
      <c r="C1" s="14" t="s">
        <v>11</v>
      </c>
      <c r="D1" s="3" t="s">
        <v>12</v>
      </c>
      <c r="E1" s="15" t="s">
        <v>13</v>
      </c>
    </row>
    <row r="2" ht="14.25" customHeight="1">
      <c r="A2" s="16" t="s">
        <v>52</v>
      </c>
      <c r="B2" s="16" t="s">
        <v>53</v>
      </c>
      <c r="C2" s="16" t="s">
        <v>54</v>
      </c>
      <c r="D2" s="17" t="s">
        <v>65</v>
      </c>
      <c r="E2" s="15" t="s">
        <v>66</v>
      </c>
    </row>
    <row r="3" ht="14.25" customHeight="1">
      <c r="A3" s="16" t="s">
        <v>52</v>
      </c>
      <c r="B3" s="16" t="s">
        <v>67</v>
      </c>
      <c r="C3" s="16" t="s">
        <v>68</v>
      </c>
      <c r="D3" s="17" t="s">
        <v>69</v>
      </c>
      <c r="E3" s="15" t="s">
        <v>69</v>
      </c>
    </row>
    <row r="4" ht="14.25" customHeight="1">
      <c r="A4" s="16" t="s">
        <v>70</v>
      </c>
      <c r="B4" s="16" t="s">
        <v>71</v>
      </c>
      <c r="C4" s="16" t="s">
        <v>72</v>
      </c>
      <c r="D4" s="17" t="s">
        <v>73</v>
      </c>
      <c r="E4" s="15" t="s">
        <v>74</v>
      </c>
    </row>
    <row r="5" ht="14.25" customHeight="1">
      <c r="A5" s="16" t="s">
        <v>70</v>
      </c>
      <c r="B5" s="16" t="s">
        <v>75</v>
      </c>
      <c r="C5" s="16" t="s">
        <v>76</v>
      </c>
      <c r="D5" s="17" t="s">
        <v>77</v>
      </c>
      <c r="E5" s="15" t="s">
        <v>78</v>
      </c>
    </row>
    <row r="6" ht="14.25" customHeight="1">
      <c r="A6" s="16" t="s">
        <v>79</v>
      </c>
      <c r="B6" s="16" t="s">
        <v>71</v>
      </c>
      <c r="C6" s="16" t="s">
        <v>80</v>
      </c>
      <c r="D6" s="17" t="s">
        <v>81</v>
      </c>
      <c r="E6" s="15" t="s">
        <v>82</v>
      </c>
    </row>
    <row r="7" ht="14.25" customHeight="1">
      <c r="A7" s="16" t="s">
        <v>79</v>
      </c>
      <c r="B7" s="16" t="s">
        <v>75</v>
      </c>
      <c r="C7" s="16" t="s">
        <v>83</v>
      </c>
      <c r="D7" s="17" t="s">
        <v>84</v>
      </c>
      <c r="E7" s="15" t="s">
        <v>85</v>
      </c>
    </row>
    <row r="8" ht="14.25" customHeight="1">
      <c r="A8" s="2" t="s">
        <v>86</v>
      </c>
      <c r="B8" s="22" t="s">
        <v>87</v>
      </c>
      <c r="C8" s="23" t="s">
        <v>88</v>
      </c>
      <c r="D8" s="17" t="s">
        <v>89</v>
      </c>
      <c r="E8" s="15" t="s">
        <v>90</v>
      </c>
    </row>
    <row r="9" ht="14.25" customHeight="1">
      <c r="A9" s="24" t="s">
        <v>50</v>
      </c>
      <c r="B9" s="22" t="s">
        <v>91</v>
      </c>
      <c r="C9" s="25" t="s">
        <v>92</v>
      </c>
      <c r="D9" s="26" t="s">
        <v>93</v>
      </c>
      <c r="E9" s="24" t="s">
        <v>94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ht="14.25" customHeight="1">
      <c r="A10" s="24" t="s">
        <v>50</v>
      </c>
      <c r="B10" s="22" t="s">
        <v>96</v>
      </c>
      <c r="C10" s="25" t="s">
        <v>97</v>
      </c>
      <c r="D10" s="26" t="s">
        <v>98</v>
      </c>
      <c r="E10" s="24" t="s">
        <v>99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ht="14.25" customHeight="1">
      <c r="A11" s="24" t="s">
        <v>50</v>
      </c>
      <c r="B11" s="22" t="s">
        <v>100</v>
      </c>
      <c r="C11" s="25" t="s">
        <v>101</v>
      </c>
      <c r="D11" s="26" t="str">
        <f>IFERROR(__xludf.DUMMYFUNCTION("GOOGLETRANSLATE(C11, ""en"", ""fr"")"),"Entrepreneur en santé communautaire")</f>
        <v>Entrepreneur en santé communautaire</v>
      </c>
      <c r="E11" s="24" t="str">
        <f>IFERROR(__xludf.DUMMYFUNCTION("GOOGLETRANSLATE(C11, ""en"", ""ht"")"),"Antreprenè Sante Kominotè")</f>
        <v>Antreprenè Sante Kominotè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ht="14.25" customHeight="1">
      <c r="A12" s="24" t="s">
        <v>50</v>
      </c>
      <c r="B12" s="22" t="s">
        <v>103</v>
      </c>
      <c r="C12" s="25" t="s">
        <v>104</v>
      </c>
      <c r="D12" s="26" t="s">
        <v>105</v>
      </c>
      <c r="E12" s="24" t="s">
        <v>106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ht="14.25" customHeight="1">
      <c r="A13" s="24" t="s">
        <v>50</v>
      </c>
      <c r="B13" s="24" t="s">
        <v>107</v>
      </c>
      <c r="C13" s="24" t="s">
        <v>108</v>
      </c>
      <c r="D13" s="26" t="s">
        <v>108</v>
      </c>
      <c r="E13" s="24" t="s">
        <v>109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ht="14.25" customHeight="1">
      <c r="A14" s="24" t="s">
        <v>50</v>
      </c>
      <c r="B14" s="22" t="s">
        <v>110</v>
      </c>
      <c r="C14" s="25" t="s">
        <v>111</v>
      </c>
      <c r="D14" s="26" t="s">
        <v>112</v>
      </c>
      <c r="E14" s="24" t="s">
        <v>113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ht="14.25" customHeight="1">
      <c r="A15" s="24" t="s">
        <v>114</v>
      </c>
      <c r="B15" s="22" t="s">
        <v>115</v>
      </c>
      <c r="C15" s="25" t="s">
        <v>116</v>
      </c>
      <c r="D15" s="26" t="str">
        <f>IFERROR(__xludf.DUMMYFUNCTION("GOOGLETRANSLATE(C15, ""en"", ""fr"")"),"Département du pays")</f>
        <v>Département du pays</v>
      </c>
      <c r="E15" s="29" t="s">
        <v>119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ht="14.25" customHeight="1">
      <c r="A16" s="24" t="s">
        <v>114</v>
      </c>
      <c r="B16" s="22" t="s">
        <v>122</v>
      </c>
      <c r="C16" s="25" t="s">
        <v>123</v>
      </c>
      <c r="D16" s="26" t="str">
        <f>IFERROR(__xludf.DUMMYFUNCTION("GOOGLETRANSLATE(C16, ""en"", ""fr"")"),"Région de supervision")</f>
        <v>Région de supervision</v>
      </c>
      <c r="E16" s="29" t="s">
        <v>125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ht="14.25" customHeight="1">
      <c r="A17" s="24" t="s">
        <v>114</v>
      </c>
      <c r="B17" s="22" t="s">
        <v>127</v>
      </c>
      <c r="C17" s="25" t="s">
        <v>128</v>
      </c>
      <c r="D17" s="26" t="str">
        <f>IFERROR(__xludf.DUMMYFUNCTION("GOOGLETRANSLATE(C17, ""en"", ""fr"")"),"Zone infirmière")</f>
        <v>Zone infirmière</v>
      </c>
      <c r="E17" s="29" t="s">
        <v>130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ht="14.25" customHeight="1">
      <c r="A18" s="24" t="s">
        <v>135</v>
      </c>
      <c r="B18" s="24" t="s">
        <v>136</v>
      </c>
      <c r="C18" s="24" t="s">
        <v>138</v>
      </c>
      <c r="D18" s="32" t="str">
        <f>IFERROR(__xludf.DUMMYFUNCTION("GOOGLETRANSLATE(C18, ""en"", ""fr"")"),"Hypertension")</f>
        <v>Hypertension</v>
      </c>
      <c r="E18" s="33" t="str">
        <f>IFERROR(__xludf.DUMMYFUNCTION("GOOGLETRANSLATE(C18, ""en"", ""ht"")"),"Ipètansyon")</f>
        <v>Ipètansyon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ht="14.25" customHeight="1">
      <c r="A19" s="24" t="s">
        <v>135</v>
      </c>
      <c r="B19" s="24" t="s">
        <v>266</v>
      </c>
      <c r="C19" s="24" t="s">
        <v>267</v>
      </c>
      <c r="D19" s="32" t="str">
        <f>IFERROR(__xludf.DUMMYFUNCTION("GOOGLETRANSLATE(C19, ""en"", ""fr"")"),"Diabète")</f>
        <v>Diabète</v>
      </c>
      <c r="E19" s="33" t="str">
        <f>IFERROR(__xludf.DUMMYFUNCTION("GOOGLETRANSLATE(C19, ""en"", ""ht"")"),"Dyabèt")</f>
        <v>Dyabèt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ht="14.25" customHeight="1">
      <c r="A20" s="24" t="s">
        <v>135</v>
      </c>
      <c r="B20" s="24" t="s">
        <v>272</v>
      </c>
      <c r="C20" s="24" t="s">
        <v>274</v>
      </c>
      <c r="D20" s="32" t="str">
        <f>IFERROR(__xludf.DUMMYFUNCTION("GOOGLETRANSLATE(C20, ""en"", ""fr"")"),"AVC antérieur")</f>
        <v>AVC antérieur</v>
      </c>
      <c r="E20" s="33" t="str">
        <f>IFERROR(__xludf.DUMMYFUNCTION("GOOGLETRANSLATE(C20, ""en"", ""ht"")"),"Konjesyon serebral anvan an")</f>
        <v>Konjesyon serebral anvan an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ht="14.25" customHeight="1">
      <c r="A21" s="24" t="s">
        <v>135</v>
      </c>
      <c r="B21" s="24" t="s">
        <v>275</v>
      </c>
      <c r="C21" s="24" t="s">
        <v>276</v>
      </c>
      <c r="D21" s="32" t="str">
        <f>IFERROR(__xludf.DUMMYFUNCTION("GOOGLETRANSLATE(C21, ""en"", ""fr"")"),"Asthme")</f>
        <v>Asthme</v>
      </c>
      <c r="E21" s="33" t="str">
        <f>IFERROR(__xludf.DUMMYFUNCTION("GOOGLETRANSLATE(C21, ""en"", ""ht"")"),"Asm")</f>
        <v>Asm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ht="14.25" customHeight="1">
      <c r="A22" s="24" t="s">
        <v>135</v>
      </c>
      <c r="B22" s="24" t="s">
        <v>278</v>
      </c>
      <c r="C22" s="24" t="s">
        <v>279</v>
      </c>
      <c r="D22" s="32" t="str">
        <f>IFERROR(__xludf.DUMMYFUNCTION("GOOGLETRANSLATE(C22, ""en"", ""fr"")"),"Aucune des réponses ci-dessus")</f>
        <v>Aucune des réponses ci-dessus</v>
      </c>
      <c r="E22" s="33" t="str">
        <f>IFERROR(__xludf.DUMMYFUNCTION("GOOGLETRANSLATE(C22, ""en"", ""ht"")"),"Okenn nan sa ki anwo yo")</f>
        <v>Okenn nan sa ki anwo yo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7.71"/>
    <col customWidth="1" min="3" max="3" width="20.0"/>
    <col customWidth="1" min="4" max="6" width="7.71"/>
  </cols>
  <sheetData>
    <row r="1" ht="14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ht="14.25" customHeight="1">
      <c r="A2" s="2" t="s">
        <v>8</v>
      </c>
      <c r="B2" s="2" t="s">
        <v>9</v>
      </c>
      <c r="C2" s="5" t="str">
        <f>TEXT(NOW(), "yyyy-mm-dd_HH-MM")</f>
        <v>2026-10-11_18-16</v>
      </c>
      <c r="D2" s="2" t="s">
        <v>17</v>
      </c>
      <c r="E2" s="2" t="s">
        <v>19</v>
      </c>
      <c r="F2" s="2" t="s">
        <v>20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