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rvey" sheetId="1" r:id="rId5"/>
    <sheet state="visible" name="choices" sheetId="2" r:id="rId6"/>
    <sheet state="visible" name="settings" sheetId="3" r:id="rId7"/>
  </sheets>
  <definedNames/>
  <calcPr/>
</workbook>
</file>

<file path=xl/sharedStrings.xml><?xml version="1.0" encoding="utf-8"?>
<sst xmlns="http://schemas.openxmlformats.org/spreadsheetml/2006/main" count="255" uniqueCount="153">
  <si>
    <t>type</t>
  </si>
  <si>
    <t>list_name</t>
  </si>
  <si>
    <t>form_title</t>
  </si>
  <si>
    <t>name</t>
  </si>
  <si>
    <t>label::en</t>
  </si>
  <si>
    <t>form_id</t>
  </si>
  <si>
    <t>label::fr</t>
  </si>
  <si>
    <t>version</t>
  </si>
  <si>
    <t>style</t>
  </si>
  <si>
    <t>label</t>
  </si>
  <si>
    <t>path</t>
  </si>
  <si>
    <t>instance_name</t>
  </si>
  <si>
    <t>default_language</t>
  </si>
  <si>
    <t>label::cr</t>
  </si>
  <si>
    <t>required</t>
  </si>
  <si>
    <t>relevant</t>
  </si>
  <si>
    <t>appearance</t>
  </si>
  <si>
    <t>read_only</t>
  </si>
  <si>
    <t>constraint</t>
  </si>
  <si>
    <t>constraint_message</t>
  </si>
  <si>
    <t>calculation</t>
  </si>
  <si>
    <t>choice_filter</t>
  </si>
  <si>
    <t>hint::en</t>
  </si>
  <si>
    <t>hint::fr</t>
  </si>
  <si>
    <t>hint::cr</t>
  </si>
  <si>
    <t>default</t>
  </si>
  <si>
    <t>notes</t>
  </si>
  <si>
    <t>Edit PLACE_NAME</t>
  </si>
  <si>
    <t>contact:PLACE_TYPE:edit</t>
  </si>
  <si>
    <t>begin group</t>
  </si>
  <si>
    <t>inputs</t>
  </si>
  <si>
    <t>NO_LABEL</t>
  </si>
  <si>
    <t>yes_no</t>
  </si>
  <si>
    <t>true</t>
  </si>
  <si>
    <t>Yes</t>
  </si>
  <si>
    <t>Oui</t>
  </si>
  <si>
    <t>data</t>
  </si>
  <si>
    <t>en</t>
  </si>
  <si>
    <t>user</t>
  </si>
  <si>
    <t>false</t>
  </si>
  <si>
    <t>No</t>
  </si>
  <si>
    <t>Non</t>
  </si>
  <si>
    <t>string</t>
  </si>
  <si>
    <t>contact_id</t>
  </si>
  <si>
    <t>contact</t>
  </si>
  <si>
    <t>Contact ID of the logged in user</t>
  </si>
  <si>
    <t>new_person</t>
  </si>
  <si>
    <t>Create a new person</t>
  </si>
  <si>
    <t>facility_id</t>
  </si>
  <si>
    <t>Créer une nouvelle personne</t>
  </si>
  <si>
    <t>Place ID of the logged in user</t>
  </si>
  <si>
    <t>old_person</t>
  </si>
  <si>
    <t>Select an existing person</t>
  </si>
  <si>
    <t>Choisir une personne existant</t>
  </si>
  <si>
    <t>Name of the logged in user</t>
  </si>
  <si>
    <t>end group</t>
  </si>
  <si>
    <t>roles</t>
  </si>
  <si>
    <t>nurse</t>
  </si>
  <si>
    <t>Nurse</t>
  </si>
  <si>
    <t>Infirmier</t>
  </si>
  <si>
    <t>che</t>
  </si>
  <si>
    <t>Community Health Entrepreneur</t>
  </si>
  <si>
    <t>PLACE_TYPE</t>
  </si>
  <si>
    <t>patient</t>
  </si>
  <si>
    <t>Patient</t>
  </si>
  <si>
    <t>field-list</t>
  </si>
  <si>
    <t>hidden</t>
  </si>
  <si>
    <t>parent</t>
  </si>
  <si>
    <t>other</t>
  </si>
  <si>
    <t>Other</t>
  </si>
  <si>
    <t>Autre</t>
  </si>
  <si>
    <t>yes</t>
  </si>
  <si>
    <t>name_type</t>
  </si>
  <si>
    <t>manual</t>
  </si>
  <si>
    <t>Enter the name manually</t>
  </si>
  <si>
    <t>Entrer le nom manuellement</t>
  </si>
  <si>
    <t>automatic</t>
  </si>
  <si>
    <t>Named after primary contact (eg Mary District)</t>
  </si>
  <si>
    <t xml:space="preserve">Le nom est donné automatiquement </t>
  </si>
  <si>
    <t>yes_no_generated_name</t>
  </si>
  <si>
    <t>Updated to be a group, due to 3889</t>
  </si>
  <si>
    <t>No, I want to name it manually</t>
  </si>
  <si>
    <t>Non, je veux nommer ça manuellement</t>
  </si>
  <si>
    <t>calculate</t>
  </si>
  <si>
    <t>contact_name</t>
  </si>
  <si>
    <t>../name</t>
  </si>
  <si>
    <t>Seems redundant, but needed to access name from choice label</t>
  </si>
  <si>
    <t>_id</t>
  </si>
  <si>
    <t>Primary Contact</t>
  </si>
  <si>
    <t>Contact primaire</t>
  </si>
  <si>
    <t>place_type</t>
  </si>
  <si>
    <t>district_hospital</t>
  </si>
  <si>
    <t>Country Department</t>
  </si>
  <si>
    <t>District</t>
  </si>
  <si>
    <t>select-contact type-person</t>
  </si>
  <si>
    <t>Select the Primary Contact</t>
  </si>
  <si>
    <t>Sélectionnez le contact primaire</t>
  </si>
  <si>
    <t>health_center</t>
  </si>
  <si>
    <t>Supervisor Region</t>
  </si>
  <si>
    <t>Centre de santé</t>
  </si>
  <si>
    <t>clinic</t>
  </si>
  <si>
    <t>Nurse Zone</t>
  </si>
  <si>
    <t>Zone</t>
  </si>
  <si>
    <t>select_one yes_no_generated_name</t>
  </si>
  <si>
    <t>is_name_generated</t>
  </si>
  <si>
    <t>Would you like to name the place after the primary contact: "${generated_name}"?</t>
  </si>
  <si>
    <t>Voulez-vous nommer l'endroit: "${generated_name}"?</t>
  </si>
  <si>
    <t>not(${_id}) or selected( . , 'true') or boolean(${_id})</t>
  </si>
  <si>
    <t>columns-pack</t>
  </si>
  <si>
    <t>generated_name</t>
  </si>
  <si>
    <t>boolean(${_id})</t>
  </si>
  <si>
    <t>${contact_name}'s Department</t>
  </si>
  <si>
    <t>District de ${contact_name}</t>
  </si>
  <si>
    <t>if( ${generated_name} = ../name, 'true', 'false')</t>
  </si>
  <si>
    <t>if (not(${_id}), 'false', .)</t>
  </si>
  <si>
    <t>${contact_name}'s Region</t>
  </si>
  <si>
    <t>Centre de santé de ${contact_name}</t>
  </si>
  <si>
    <t>${generated_name_translation}</t>
  </si>
  <si>
    <t>Name of this ${place_type_translation}</t>
  </si>
  <si>
    <t>${contact_name}'s Zone</t>
  </si>
  <si>
    <t>Nom pour ${place_type_translation}</t>
  </si>
  <si>
    <t>Zone de ${contact_name}</t>
  </si>
  <si>
    <t>boolean(${_id}) or not(${_id}) or not(selected(${is_name_generated}, 'true'))  or not(selected(${is_name_generated}, 'yes'))</t>
  </si>
  <si>
    <t>if( ( selected(${is_name_generated}, 'true') or selected(${is_name_generated}, 'yes') ), ${generated_name}, .)</t>
  </si>
  <si>
    <t>external_id</t>
  </si>
  <si>
    <t>External ID</t>
  </si>
  <si>
    <t>Code externe</t>
  </si>
  <si>
    <t>Notes</t>
  </si>
  <si>
    <t>multiline</t>
  </si>
  <si>
    <t>geolocation</t>
  </si>
  <si>
    <t>concat(../../inputs/meta/location/lat, concat(' ', ../../inputs/meta/location/long))</t>
  </si>
  <si>
    <t>meta</t>
  </si>
  <si>
    <t>created_by</t>
  </si>
  <si>
    <t>Cannot change and will be hidden</t>
  </si>
  <si>
    <t>created_by_person_uuid</t>
  </si>
  <si>
    <t>created_by_place_uuid</t>
  </si>
  <si>
    <t>last_edited_by</t>
  </si>
  <si>
    <t>../../../inputs/user/name</t>
  </si>
  <si>
    <t>Will be hidden</t>
  </si>
  <si>
    <t>last_edited_by_person_uuid</t>
  </si>
  <si>
    <t>../../../inputs/user/contact_id</t>
  </si>
  <si>
    <t>last_edited_by_place_uuid</t>
  </si>
  <si>
    <t>../../../inputs/user/facility_id</t>
  </si>
  <si>
    <t>init</t>
  </si>
  <si>
    <t>field-list hidden</t>
  </si>
  <si>
    <t>select_one place_type</t>
  </si>
  <si>
    <t>"PLACE_TYPE"</t>
  </si>
  <si>
    <t>place_type_translation</t>
  </si>
  <si>
    <t>jr:choice-name(${place_type},'${place_type}')</t>
  </si>
  <si>
    <t>select_one generated_name</t>
  </si>
  <si>
    <t>select_generated_name</t>
  </si>
  <si>
    <t>generated_name_translation</t>
  </si>
  <si>
    <t>if (boolean(${_id}), jr:choice-name(${select_generated_name},'${select_generated_name}'), '')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</si>
</sst>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vertical="center"/>
    </xf>
    <xf borderId="1" fillId="2" fontId="1" numFmtId="0" xfId="0" applyBorder="1" applyFill="1" applyFont="1"/>
    <xf borderId="0" fillId="2" fontId="1" numFmtId="0" xfId="0" applyAlignment="1" applyFill="1" applyFont="1">
      <alignment readingOrder="0"/>
    </xf>
    <xf borderId="0" fillId="0" fontId="3" numFmtId="0" xfId="0" applyFont="1"/>
    <xf borderId="1" fillId="2" fontId="2" numFmtId="0" xfId="0" applyBorder="1" applyFill="1" applyFont="1"/>
    <xf borderId="0" fillId="0" fontId="3" numFmtId="0" xfId="0" applyAlignment="1" applyFont="1">
      <alignment readingOrder="0"/>
    </xf>
    <xf borderId="0" fillId="0" fontId="4" numFmtId="0" xfId="0" applyFont="1"/>
    <xf borderId="1" fillId="3" fontId="4" numFmtId="0" xfId="0" applyBorder="1" applyFill="1" applyFont="1"/>
    <xf borderId="1" fillId="4" fontId="4" numFmtId="0" xfId="0" applyBorder="1" applyFill="1" applyFont="1"/>
    <xf borderId="0" fillId="0" fontId="3" numFmtId="0" xfId="0" applyAlignment="1" applyFont="1">
      <alignment vertical="center"/>
    </xf>
    <xf borderId="1" fillId="2" fontId="4" numFmtId="0" xfId="0" applyBorder="1" applyFill="1" applyFont="1"/>
    <xf borderId="0" fillId="0" fontId="3" numFmtId="49" xfId="0" applyFont="1" applyNumberFormat="1"/>
    <xf borderId="0" fillId="0" fontId="3" numFmtId="0" xfId="0" applyAlignment="1" applyFont="1">
      <alignment vertical="top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top"/>
    </xf>
    <xf borderId="0" fillId="0" fontId="4" numFmtId="0" xfId="0" applyAlignment="1" applyFont="1">
      <alignment shrinkToFit="0" vertical="bottom" wrapText="1"/>
    </xf>
    <xf borderId="0" fillId="2" fontId="4" numFmtId="0" xfId="0" applyFill="1" applyFont="1"/>
    <xf borderId="1" fillId="2" fontId="4" numFmtId="0" xfId="0" applyAlignment="1" applyBorder="1" applyFill="1" applyFont="1">
      <alignment vertical="bottom"/>
    </xf>
    <xf borderId="1" fillId="5" fontId="4" numFmtId="0" xfId="0" applyBorder="1" applyFill="1" applyFont="1"/>
    <xf borderId="1" fillId="2" fontId="4" numFmtId="0" xfId="0" applyAlignment="1" applyBorder="1" applyFill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9.71"/>
    <col customWidth="1" min="2" max="2" width="22.71"/>
    <col customWidth="1" min="3" max="3" width="24.29"/>
    <col customWidth="1" min="4" max="5" width="16.43"/>
    <col customWidth="1" min="6" max="6" width="8.14"/>
    <col customWidth="1" min="7" max="7" width="11.43"/>
    <col customWidth="1" min="8" max="8" width="10.71"/>
    <col customWidth="1" min="9" max="9" width="15.14"/>
    <col customWidth="1" min="10" max="10" width="32.0"/>
    <col customWidth="1" min="11" max="11" width="50.14"/>
    <col customWidth="1" min="12" max="12" width="48.71"/>
    <col customWidth="1" min="13" max="13" width="31.14"/>
    <col customWidth="1" min="14" max="14" width="33.43"/>
    <col customWidth="1" min="15" max="16" width="8.14"/>
    <col customWidth="1" min="17" max="17" width="8.71"/>
    <col customWidth="1" min="18" max="28" width="7.71"/>
    <col customWidth="1" min="29" max="30" width="15.14"/>
  </cols>
  <sheetData>
    <row r="1" ht="14.25" customHeight="1">
      <c r="A1" s="1" t="s">
        <v>0</v>
      </c>
      <c r="B1" s="1" t="s">
        <v>3</v>
      </c>
      <c r="C1" s="1" t="s">
        <v>4</v>
      </c>
      <c r="D1" s="4" t="s">
        <v>6</v>
      </c>
      <c r="E1" s="5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4" t="s">
        <v>23</v>
      </c>
      <c r="P1" s="5" t="s">
        <v>24</v>
      </c>
      <c r="Q1" s="1" t="s">
        <v>25</v>
      </c>
      <c r="R1" s="1" t="s">
        <v>26</v>
      </c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</row>
    <row r="2" ht="14.25" customHeight="1">
      <c r="A2" s="10" t="s">
        <v>29</v>
      </c>
      <c r="B2" s="10" t="s">
        <v>30</v>
      </c>
      <c r="C2" s="11" t="s">
        <v>31</v>
      </c>
      <c r="D2" s="11" t="s">
        <v>31</v>
      </c>
      <c r="E2" s="11" t="str">
        <f>IFERROR(__xludf.DUMMYFUNCTION("IF(ISBLANK(C2), """", GOOGLETRANSLATE(C2, ""en"", ""ht""))"),"PA GEN_ETIKÈT")</f>
        <v>PA GEN_ETIKÈT</v>
      </c>
      <c r="F2" s="11"/>
      <c r="G2" s="11" t="b">
        <v>0</v>
      </c>
      <c r="H2" s="11"/>
      <c r="I2" s="11"/>
      <c r="J2" s="11"/>
      <c r="K2" s="11"/>
      <c r="L2" s="11"/>
      <c r="M2" s="11"/>
      <c r="N2" s="11"/>
      <c r="O2" s="11"/>
      <c r="P2" s="11" t="str">
        <f>IFERROR(__xludf.DUMMYFUNCTION("IF(ISBLANK(N2), """", GOOGLETRANSLATE(N2, ""en"", ""ht""))"),"")</f>
        <v/>
      </c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</row>
    <row r="3">
      <c r="A3" s="10" t="s">
        <v>29</v>
      </c>
      <c r="B3" s="10" t="s">
        <v>38</v>
      </c>
      <c r="C3" s="11" t="s">
        <v>31</v>
      </c>
      <c r="D3" s="11" t="s">
        <v>31</v>
      </c>
      <c r="E3" s="11" t="str">
        <f>IFERROR(__xludf.DUMMYFUNCTION("IF(ISBLANK(C3), """", GOOGLETRANSLATE(C3, ""en"", ""ht""))"),"PA GEN_ETIKÈT")</f>
        <v>PA GEN_ETIKÈT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 t="str">
        <f>IFERROR(__xludf.DUMMYFUNCTION("IF(ISBLANK(N3), """", GOOGLETRANSLATE(N3, ""en"", ""ht""))"),"")</f>
        <v/>
      </c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</row>
    <row r="4" ht="14.25" customHeight="1">
      <c r="A4" s="10" t="s">
        <v>42</v>
      </c>
      <c r="B4" s="10" t="s">
        <v>43</v>
      </c>
      <c r="C4" s="11" t="s">
        <v>31</v>
      </c>
      <c r="D4" s="11" t="s">
        <v>31</v>
      </c>
      <c r="E4" s="11" t="str">
        <f>IFERROR(__xludf.DUMMYFUNCTION("IF(ISBLANK(C4), """", GOOGLETRANSLATE(C4, ""en"", ""ht""))"),"PA GEN_ETIKÈT")</f>
        <v>PA GEN_ETIKÈT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 t="str">
        <f>IFERROR(__xludf.DUMMYFUNCTION("IF(ISBLANK(N4), """", GOOGLETRANSLATE(N4, ""en"", ""ht""))"),"")</f>
        <v/>
      </c>
      <c r="Q4" s="11"/>
      <c r="R4" s="11" t="s">
        <v>45</v>
      </c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</row>
    <row r="5" ht="14.25" customHeight="1">
      <c r="A5" s="10" t="s">
        <v>42</v>
      </c>
      <c r="B5" s="10" t="s">
        <v>48</v>
      </c>
      <c r="C5" s="11" t="s">
        <v>31</v>
      </c>
      <c r="D5" s="11" t="s">
        <v>31</v>
      </c>
      <c r="E5" s="11" t="str">
        <f>IFERROR(__xludf.DUMMYFUNCTION("IF(ISBLANK(C5), """", GOOGLETRANSLATE(C5, ""en"", ""ht""))"),"PA GEN_ETIKÈT")</f>
        <v>PA GEN_ETIKÈT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 t="str">
        <f>IFERROR(__xludf.DUMMYFUNCTION("IF(ISBLANK(N5), """", GOOGLETRANSLATE(N5, ""en"", ""ht""))"),"")</f>
        <v/>
      </c>
      <c r="Q5" s="11"/>
      <c r="R5" s="11" t="s">
        <v>50</v>
      </c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</row>
    <row r="6" ht="14.25" customHeight="1">
      <c r="A6" s="10" t="s">
        <v>42</v>
      </c>
      <c r="B6" s="10" t="s">
        <v>3</v>
      </c>
      <c r="C6" s="11" t="s">
        <v>31</v>
      </c>
      <c r="D6" s="11" t="s">
        <v>31</v>
      </c>
      <c r="E6" s="11" t="str">
        <f>IFERROR(__xludf.DUMMYFUNCTION("IF(ISBLANK(C6), """", GOOGLETRANSLATE(C6, ""en"", ""ht""))"),"PA GEN_ETIKÈT")</f>
        <v>PA GEN_ETIKÈT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 t="str">
        <f>IFERROR(__xludf.DUMMYFUNCTION("IF(ISBLANK(N6), """", GOOGLETRANSLATE(N6, ""en"", ""ht""))"),"")</f>
        <v/>
      </c>
      <c r="Q6" s="11"/>
      <c r="R6" s="11" t="s">
        <v>54</v>
      </c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</row>
    <row r="7">
      <c r="A7" s="10" t="s">
        <v>55</v>
      </c>
      <c r="B7" s="10"/>
      <c r="C7" s="11"/>
      <c r="D7" s="11"/>
      <c r="E7" s="11" t="str">
        <f>IFERROR(__xludf.DUMMYFUNCTION("IF(ISBLANK(C7), """", GOOGLETRANSLATE(C7, ""en"", ""ht""))"),"")</f>
        <v/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 t="str">
        <f>IFERROR(__xludf.DUMMYFUNCTION("IF(ISBLANK(N7), """", GOOGLETRANSLATE(N7, ""en"", ""ht""))"),"")</f>
        <v/>
      </c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</row>
    <row r="8" ht="14.25" customHeight="1">
      <c r="A8" s="10" t="s">
        <v>55</v>
      </c>
      <c r="B8" s="10"/>
      <c r="C8" s="11"/>
      <c r="D8" s="11"/>
      <c r="E8" s="11" t="str">
        <f>IFERROR(__xludf.DUMMYFUNCTION("IF(ISBLANK(C8), """", GOOGLETRANSLATE(C8, ""en"", ""ht""))"),"")</f>
        <v/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 t="str">
        <f>IFERROR(__xludf.DUMMYFUNCTION("IF(ISBLANK(N8), """", GOOGLETRANSLATE(N8, ""en"", ""ht""))"),"")</f>
        <v/>
      </c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</row>
    <row r="9" ht="14.25" customHeight="1">
      <c r="A9" s="9"/>
      <c r="B9" s="9"/>
      <c r="C9" s="9"/>
      <c r="D9" s="13"/>
      <c r="E9" s="20" t="str">
        <f>IFERROR(__xludf.DUMMYFUNCTION("IF(ISBLANK(C9), """", GOOGLETRANSLATE(C9, ""en"", ""ht""))"),"")</f>
        <v/>
      </c>
      <c r="F9" s="9"/>
      <c r="G9" s="9"/>
      <c r="H9" s="9"/>
      <c r="I9" s="9"/>
      <c r="J9" s="9"/>
      <c r="K9" s="9"/>
      <c r="L9" s="9"/>
      <c r="M9" s="9"/>
      <c r="N9" s="9"/>
      <c r="O9" s="13"/>
      <c r="P9" s="20" t="str">
        <f>IFERROR(__xludf.DUMMYFUNCTION("IF(ISBLANK(N9), """", GOOGLETRANSLATE(N9, ""en"", ""ht""))"),"")</f>
        <v/>
      </c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ht="14.25" customHeight="1">
      <c r="A10" s="22" t="s">
        <v>29</v>
      </c>
      <c r="B10" s="22" t="s">
        <v>62</v>
      </c>
      <c r="C10" s="13" t="s">
        <v>31</v>
      </c>
      <c r="D10" s="13" t="s">
        <v>31</v>
      </c>
      <c r="E10" s="13" t="str">
        <f>IFERROR(__xludf.DUMMYFUNCTION("IF(ISBLANK(C10), """", GOOGLETRANSLATE(C10, ""en"", ""ht""))"),"PA GEN_ETIKÈT")</f>
        <v>PA GEN_ETIKÈT</v>
      </c>
      <c r="F10" s="13"/>
      <c r="G10" s="13"/>
      <c r="H10" s="13" t="s">
        <v>65</v>
      </c>
      <c r="I10" s="13"/>
      <c r="J10" s="13"/>
      <c r="K10" s="13"/>
      <c r="L10" s="13"/>
      <c r="M10" s="13"/>
      <c r="N10" s="13"/>
      <c r="O10" s="13"/>
      <c r="P10" s="13" t="str">
        <f>IFERROR(__xludf.DUMMYFUNCTION("IF(ISBLANK(N10), """", GOOGLETRANSLATE(N10, ""en"", ""ht""))"),"")</f>
        <v/>
      </c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</row>
    <row r="11" ht="14.25" customHeight="1">
      <c r="A11" s="22" t="s">
        <v>66</v>
      </c>
      <c r="B11" s="22" t="s">
        <v>67</v>
      </c>
      <c r="C11" s="13" t="s">
        <v>31</v>
      </c>
      <c r="D11" s="13" t="s">
        <v>31</v>
      </c>
      <c r="E11" s="13" t="str">
        <f>IFERROR(__xludf.DUMMYFUNCTION("IF(ISBLANK(C11), """", GOOGLETRANSLATE(C11, ""en"", ""ht""))"),"PA GEN_ETIKÈT")</f>
        <v>PA GEN_ETIKÈT</v>
      </c>
      <c r="F11" s="13"/>
      <c r="G11" s="13"/>
      <c r="H11" s="13"/>
      <c r="I11" s="13" t="s">
        <v>71</v>
      </c>
      <c r="J11" s="13"/>
      <c r="K11" s="13"/>
      <c r="L11" s="13"/>
      <c r="M11" s="13"/>
      <c r="N11" s="13"/>
      <c r="O11" s="13"/>
      <c r="P11" s="13" t="str">
        <f>IFERROR(__xludf.DUMMYFUNCTION("IF(ISBLANK(N11), """", GOOGLETRANSLATE(N11, ""en"", ""ht""))"),"")</f>
        <v/>
      </c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</row>
    <row r="12" ht="14.25" customHeight="1">
      <c r="A12" s="22" t="s">
        <v>66</v>
      </c>
      <c r="B12" s="22" t="s">
        <v>0</v>
      </c>
      <c r="C12" s="13" t="s">
        <v>31</v>
      </c>
      <c r="D12" s="13" t="s">
        <v>31</v>
      </c>
      <c r="E12" s="13" t="str">
        <f>IFERROR(__xludf.DUMMYFUNCTION("IF(ISBLANK(C12), """", GOOGLETRANSLATE(C12, ""en"", ""ht""))"),"PA GEN_ETIKÈT")</f>
        <v>PA GEN_ETIKÈT</v>
      </c>
      <c r="F12" s="13"/>
      <c r="G12" s="13"/>
      <c r="H12" s="13"/>
      <c r="I12" s="13" t="s">
        <v>71</v>
      </c>
      <c r="J12" s="13"/>
      <c r="K12" s="13"/>
      <c r="L12" s="13"/>
      <c r="M12" s="13"/>
      <c r="N12" s="13"/>
      <c r="O12" s="13"/>
      <c r="P12" s="13" t="str">
        <f>IFERROR(__xludf.DUMMYFUNCTION("IF(ISBLANK(N12), """", GOOGLETRANSLATE(N12, ""en"", ""ht""))"),"")</f>
        <v/>
      </c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</row>
    <row r="13" ht="14.25" customHeight="1">
      <c r="A13" s="22" t="s">
        <v>29</v>
      </c>
      <c r="B13" s="22" t="s">
        <v>44</v>
      </c>
      <c r="C13" s="13" t="s">
        <v>31</v>
      </c>
      <c r="D13" s="13" t="s">
        <v>31</v>
      </c>
      <c r="E13" s="13" t="str">
        <f>IFERROR(__xludf.DUMMYFUNCTION("IF(ISBLANK(C13), """", GOOGLETRANSLATE(C13, ""en"", ""ht""))"),"PA GEN_ETIKÈT")</f>
        <v>PA GEN_ETIKÈT</v>
      </c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 t="str">
        <f>IFERROR(__xludf.DUMMYFUNCTION("IF(ISBLANK(N13), """", GOOGLETRANSLATE(N13, ""en"", ""ht""))"),"")</f>
        <v/>
      </c>
      <c r="Q13" s="13"/>
      <c r="R13" s="13" t="s">
        <v>80</v>
      </c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</row>
    <row r="14" ht="14.25" customHeight="1">
      <c r="A14" s="22" t="s">
        <v>42</v>
      </c>
      <c r="B14" s="22" t="s">
        <v>3</v>
      </c>
      <c r="C14" s="13" t="s">
        <v>31</v>
      </c>
      <c r="D14" s="13" t="s">
        <v>31</v>
      </c>
      <c r="E14" s="13" t="str">
        <f>IFERROR(__xludf.DUMMYFUNCTION("IF(ISBLANK(C14), """", GOOGLETRANSLATE(C14, ""en"", ""ht""))"),"PA GEN_ETIKÈT")</f>
        <v>PA GEN_ETIKÈT</v>
      </c>
      <c r="F14" s="13"/>
      <c r="G14" s="13"/>
      <c r="H14" s="13" t="s">
        <v>66</v>
      </c>
      <c r="I14" s="13"/>
      <c r="J14" s="13"/>
      <c r="K14" s="13"/>
      <c r="L14" s="13"/>
      <c r="M14" s="13"/>
      <c r="N14" s="13"/>
      <c r="O14" s="13"/>
      <c r="P14" s="13" t="str">
        <f>IFERROR(__xludf.DUMMYFUNCTION("IF(ISBLANK(N14), """", GOOGLETRANSLATE(N14, ""en"", ""ht""))"),"")</f>
        <v/>
      </c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</row>
    <row r="15" ht="14.25" customHeight="1">
      <c r="A15" s="22" t="s">
        <v>83</v>
      </c>
      <c r="B15" s="22" t="s">
        <v>84</v>
      </c>
      <c r="C15" s="13"/>
      <c r="D15" s="13"/>
      <c r="E15" s="13" t="str">
        <f>IFERROR(__xludf.DUMMYFUNCTION("IF(ISBLANK(C15), """", GOOGLETRANSLATE(C15, ""en"", ""ht""))"),"")</f>
        <v/>
      </c>
      <c r="F15" s="13"/>
      <c r="G15" s="13"/>
      <c r="H15" s="13"/>
      <c r="I15" s="13"/>
      <c r="J15" s="13"/>
      <c r="K15" s="13"/>
      <c r="L15" s="13" t="s">
        <v>85</v>
      </c>
      <c r="M15" s="13"/>
      <c r="N15" s="13"/>
      <c r="O15" s="13"/>
      <c r="P15" s="13" t="str">
        <f>IFERROR(__xludf.DUMMYFUNCTION("IF(ISBLANK(N15), """", GOOGLETRANSLATE(N15, ""en"", ""ht""))"),"")</f>
        <v/>
      </c>
      <c r="Q15" s="13"/>
      <c r="R15" s="13" t="s">
        <v>86</v>
      </c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</row>
    <row r="16" ht="14.25" customHeight="1">
      <c r="A16" s="22" t="s">
        <v>42</v>
      </c>
      <c r="B16" s="22" t="s">
        <v>87</v>
      </c>
      <c r="C16" s="13" t="s">
        <v>88</v>
      </c>
      <c r="D16" s="13" t="s">
        <v>89</v>
      </c>
      <c r="E16" s="13" t="str">
        <f>IFERROR(__xludf.DUMMYFUNCTION("IF(ISBLANK(C16), """", GOOGLETRANSLATE(C16, ""en"", ""ht""))"),"Kontak Prensipal")</f>
        <v>Kontak Prensipal</v>
      </c>
      <c r="F16" s="13"/>
      <c r="G16" s="13"/>
      <c r="H16" s="13" t="s">
        <v>94</v>
      </c>
      <c r="I16" s="13"/>
      <c r="J16" s="13"/>
      <c r="K16" s="13"/>
      <c r="L16" s="13"/>
      <c r="M16" s="13"/>
      <c r="N16" s="13" t="s">
        <v>95</v>
      </c>
      <c r="O16" s="13" t="s">
        <v>96</v>
      </c>
      <c r="P16" s="13" t="str">
        <f>IFERROR(__xludf.DUMMYFUNCTION("IF(ISBLANK(N16), """", GOOGLETRANSLATE(N16, ""en"", ""ht""))"),"Chwazi Kontak Prensipal la")</f>
        <v>Chwazi Kontak Prensipal la</v>
      </c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</row>
    <row r="17" ht="14.25" customHeight="1">
      <c r="A17" s="22" t="s">
        <v>55</v>
      </c>
      <c r="B17" s="22"/>
      <c r="C17" s="13"/>
      <c r="D17" s="13"/>
      <c r="E17" s="13" t="str">
        <f>IFERROR(__xludf.DUMMYFUNCTION("IF(ISBLANK(C17), """", GOOGLETRANSLATE(C17, ""en"", ""ht""))"),"")</f>
        <v/>
      </c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 t="str">
        <f>IFERROR(__xludf.DUMMYFUNCTION("IF(ISBLANK(N17), """", GOOGLETRANSLATE(N17, ""en"", ""ht""))"),"")</f>
        <v/>
      </c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</row>
    <row r="18" ht="14.25" customHeight="1">
      <c r="A18" s="22" t="s">
        <v>103</v>
      </c>
      <c r="B18" s="22" t="s">
        <v>104</v>
      </c>
      <c r="C18" s="13" t="s">
        <v>105</v>
      </c>
      <c r="D18" s="13" t="s">
        <v>106</v>
      </c>
      <c r="E18" s="13" t="str">
        <f>IFERROR(__xludf.DUMMYFUNCTION("IF(ISBLANK(C18), """", GOOGLETRANSLATE(C18, ""en"", ""ht""))"),"Èske ou ta renmen bay kote a non kontak prensipal la: ""${generated_name}""?")</f>
        <v>Èske ou ta renmen bay kote a non kontak prensipal la: "${generated_name}"?</v>
      </c>
      <c r="F18" s="13" t="s">
        <v>71</v>
      </c>
      <c r="G18" s="13" t="s">
        <v>107</v>
      </c>
      <c r="H18" s="13" t="s">
        <v>108</v>
      </c>
      <c r="I18" s="23" t="s">
        <v>110</v>
      </c>
      <c r="J18" s="13"/>
      <c r="K18" s="13"/>
      <c r="L18" s="23" t="s">
        <v>113</v>
      </c>
      <c r="M18" s="13"/>
      <c r="N18" s="13"/>
      <c r="O18" s="13"/>
      <c r="P18" s="13" t="str">
        <f>IFERROR(__xludf.DUMMYFUNCTION("IF(ISBLANK(N18), """", GOOGLETRANSLATE(N18, ""en"", ""ht""))"),"")</f>
        <v/>
      </c>
      <c r="Q18" s="13"/>
      <c r="R18" s="23" t="s">
        <v>114</v>
      </c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</row>
    <row r="19" ht="14.25" customHeight="1">
      <c r="A19" s="22" t="s">
        <v>83</v>
      </c>
      <c r="B19" s="22" t="s">
        <v>109</v>
      </c>
      <c r="C19" s="13"/>
      <c r="D19" s="13"/>
      <c r="E19" s="13" t="str">
        <f>IFERROR(__xludf.DUMMYFUNCTION("IF(ISBLANK(C19), """", GOOGLETRANSLATE(C19, ""en"", ""ht""))"),"")</f>
        <v/>
      </c>
      <c r="F19" s="13"/>
      <c r="G19" s="13"/>
      <c r="H19" s="13"/>
      <c r="I19" s="13"/>
      <c r="J19" s="13"/>
      <c r="K19" s="13"/>
      <c r="L19" s="13" t="s">
        <v>117</v>
      </c>
      <c r="M19" s="13"/>
      <c r="N19" s="13"/>
      <c r="O19" s="13"/>
      <c r="P19" s="13" t="str">
        <f>IFERROR(__xludf.DUMMYFUNCTION("IF(ISBLANK(N19), """", GOOGLETRANSLATE(N19, ""en"", ""ht""))"),"")</f>
        <v/>
      </c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</row>
    <row r="20" ht="14.25" customHeight="1">
      <c r="A20" s="22" t="s">
        <v>42</v>
      </c>
      <c r="B20" s="22" t="s">
        <v>3</v>
      </c>
      <c r="C20" s="13" t="s">
        <v>118</v>
      </c>
      <c r="D20" s="13" t="s">
        <v>120</v>
      </c>
      <c r="E20" s="13" t="str">
        <f>IFERROR(__xludf.DUMMYFUNCTION("IF(ISBLANK(C20), """", GOOGLETRANSLATE(C20, ""en"", ""ht""))"),"Non ${place_type_translation} sa a")</f>
        <v>Non ${place_type_translation} sa a</v>
      </c>
      <c r="F20" s="13" t="s">
        <v>71</v>
      </c>
      <c r="G20" s="13" t="s">
        <v>122</v>
      </c>
      <c r="H20" s="13"/>
      <c r="I20" s="13"/>
      <c r="J20" s="13"/>
      <c r="K20" s="13"/>
      <c r="L20" s="23" t="s">
        <v>123</v>
      </c>
      <c r="M20" s="13"/>
      <c r="N20" s="13"/>
      <c r="O20" s="13"/>
      <c r="P20" s="13" t="str">
        <f>IFERROR(__xludf.DUMMYFUNCTION("IF(ISBLANK(N20), """", GOOGLETRANSLATE(N20, ""en"", ""ht""))"),"")</f>
        <v/>
      </c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</row>
    <row r="21" ht="14.25" customHeight="1">
      <c r="A21" s="22" t="s">
        <v>42</v>
      </c>
      <c r="B21" s="22" t="s">
        <v>124</v>
      </c>
      <c r="C21" s="13" t="s">
        <v>125</v>
      </c>
      <c r="D21" s="13" t="s">
        <v>126</v>
      </c>
      <c r="E21" s="13" t="str">
        <f>IFERROR(__xludf.DUMMYFUNCTION("IF(ISBLANK(C21), """", GOOGLETRANSLATE(C21, ""en"", ""ht""))"),"ID ekstèn")</f>
        <v>ID ekstèn</v>
      </c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 t="str">
        <f>IFERROR(__xludf.DUMMYFUNCTION("IF(ISBLANK(N21), """", GOOGLETRANSLATE(N21, ""en"", ""ht""))"),"")</f>
        <v/>
      </c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</row>
    <row r="22" ht="14.25" customHeight="1">
      <c r="A22" s="22" t="s">
        <v>42</v>
      </c>
      <c r="B22" s="22" t="s">
        <v>26</v>
      </c>
      <c r="C22" s="13" t="s">
        <v>127</v>
      </c>
      <c r="D22" s="13" t="s">
        <v>127</v>
      </c>
      <c r="E22" s="13" t="str">
        <f>IFERROR(__xludf.DUMMYFUNCTION("IF(ISBLANK(C22), """", GOOGLETRANSLATE(C22, ""en"", ""ht""))"),"Nòt")</f>
        <v>Nòt</v>
      </c>
      <c r="F22" s="13"/>
      <c r="G22" s="13"/>
      <c r="H22" s="13" t="s">
        <v>128</v>
      </c>
      <c r="I22" s="13"/>
      <c r="J22" s="13"/>
      <c r="K22" s="13"/>
      <c r="L22" s="13"/>
      <c r="M22" s="13"/>
      <c r="N22" s="13"/>
      <c r="O22" s="13"/>
      <c r="P22" s="13" t="str">
        <f>IFERROR(__xludf.DUMMYFUNCTION("IF(ISBLANK(N22), """", GOOGLETRANSLATE(N22, ""en"", ""ht""))"),"")</f>
        <v/>
      </c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</row>
    <row r="23" ht="14.25" customHeight="1">
      <c r="A23" s="22" t="s">
        <v>83</v>
      </c>
      <c r="B23" s="22" t="s">
        <v>129</v>
      </c>
      <c r="C23" s="13"/>
      <c r="D23" s="13"/>
      <c r="E23" s="13" t="str">
        <f>IFERROR(__xludf.DUMMYFUNCTION("IF(ISBLANK(C23), """", GOOGLETRANSLATE(C23, ""en"", ""ht""))"),"")</f>
        <v/>
      </c>
      <c r="F23" s="13"/>
      <c r="G23" s="13"/>
      <c r="H23" s="13"/>
      <c r="I23" s="13"/>
      <c r="J23" s="13"/>
      <c r="K23" s="13"/>
      <c r="L23" s="13" t="s">
        <v>130</v>
      </c>
      <c r="M23" s="13"/>
      <c r="N23" s="13"/>
      <c r="O23" s="13"/>
      <c r="P23" s="13" t="str">
        <f>IFERROR(__xludf.DUMMYFUNCTION("IF(ISBLANK(N23), """", GOOGLETRANSLATE(N23, ""en"", ""ht""))"),"")</f>
        <v/>
      </c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</row>
    <row r="24" ht="14.25" customHeight="1">
      <c r="A24" s="22" t="s">
        <v>29</v>
      </c>
      <c r="B24" s="22" t="s">
        <v>131</v>
      </c>
      <c r="C24" s="13" t="s">
        <v>31</v>
      </c>
      <c r="D24" s="13" t="s">
        <v>31</v>
      </c>
      <c r="E24" s="13" t="str">
        <f>IFERROR(__xludf.DUMMYFUNCTION("IF(ISBLANK(C24), """", GOOGLETRANSLATE(C24, ""en"", ""ht""))"),"PA GEN_ETIKÈT")</f>
        <v>PA GEN_ETIKÈT</v>
      </c>
      <c r="F24" s="13"/>
      <c r="G24" s="13"/>
      <c r="H24" s="13" t="s">
        <v>66</v>
      </c>
      <c r="I24" s="13"/>
      <c r="J24" s="13"/>
      <c r="K24" s="13"/>
      <c r="L24" s="13"/>
      <c r="M24" s="13"/>
      <c r="N24" s="13"/>
      <c r="O24" s="13"/>
      <c r="P24" s="13" t="str">
        <f>IFERROR(__xludf.DUMMYFUNCTION("IF(ISBLANK(N24), """", GOOGLETRANSLATE(N24, ""en"", ""ht""))"),"")</f>
        <v/>
      </c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</row>
    <row r="25" ht="14.25" customHeight="1">
      <c r="A25" s="22" t="s">
        <v>66</v>
      </c>
      <c r="B25" s="22" t="s">
        <v>132</v>
      </c>
      <c r="C25" s="13" t="s">
        <v>31</v>
      </c>
      <c r="D25" s="13" t="s">
        <v>31</v>
      </c>
      <c r="E25" s="13" t="str">
        <f>IFERROR(__xludf.DUMMYFUNCTION("IF(ISBLANK(C25), """", GOOGLETRANSLATE(C25, ""en"", ""ht""))"),"PA GEN_ETIKÈT")</f>
        <v>PA GEN_ETIKÈT</v>
      </c>
      <c r="F25" s="13"/>
      <c r="G25" s="13"/>
      <c r="H25" s="13"/>
      <c r="I25" s="13" t="s">
        <v>71</v>
      </c>
      <c r="J25" s="13"/>
      <c r="K25" s="13"/>
      <c r="L25" s="13"/>
      <c r="M25" s="13"/>
      <c r="N25" s="13"/>
      <c r="O25" s="13"/>
      <c r="P25" s="13" t="str">
        <f>IFERROR(__xludf.DUMMYFUNCTION("IF(ISBLANK(N25), """", GOOGLETRANSLATE(N25, ""en"", ""ht""))"),"")</f>
        <v/>
      </c>
      <c r="Q25" s="13"/>
      <c r="R25" s="13" t="s">
        <v>133</v>
      </c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</row>
    <row r="26" ht="14.25" customHeight="1">
      <c r="A26" s="22" t="s">
        <v>66</v>
      </c>
      <c r="B26" s="22" t="s">
        <v>134</v>
      </c>
      <c r="C26" s="13" t="s">
        <v>31</v>
      </c>
      <c r="D26" s="13" t="s">
        <v>31</v>
      </c>
      <c r="E26" s="13" t="str">
        <f>IFERROR(__xludf.DUMMYFUNCTION("IF(ISBLANK(C26), """", GOOGLETRANSLATE(C26, ""en"", ""ht""))"),"PA GEN_ETIKÈT")</f>
        <v>PA GEN_ETIKÈT</v>
      </c>
      <c r="F26" s="13"/>
      <c r="G26" s="13"/>
      <c r="H26" s="13"/>
      <c r="I26" s="13" t="s">
        <v>71</v>
      </c>
      <c r="J26" s="13"/>
      <c r="K26" s="13"/>
      <c r="L26" s="13"/>
      <c r="M26" s="13"/>
      <c r="N26" s="13"/>
      <c r="O26" s="13"/>
      <c r="P26" s="13" t="str">
        <f>IFERROR(__xludf.DUMMYFUNCTION("IF(ISBLANK(N26), """", GOOGLETRANSLATE(N26, ""en"", ""ht""))"),"")</f>
        <v/>
      </c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</row>
    <row r="27" ht="14.25" customHeight="1">
      <c r="A27" s="22" t="s">
        <v>66</v>
      </c>
      <c r="B27" s="22" t="s">
        <v>135</v>
      </c>
      <c r="C27" s="13" t="s">
        <v>31</v>
      </c>
      <c r="D27" s="13" t="s">
        <v>31</v>
      </c>
      <c r="E27" s="13" t="str">
        <f>IFERROR(__xludf.DUMMYFUNCTION("IF(ISBLANK(C27), """", GOOGLETRANSLATE(C27, ""en"", ""ht""))"),"PA GEN_ETIKÈT")</f>
        <v>PA GEN_ETIKÈT</v>
      </c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 t="str">
        <f>IFERROR(__xludf.DUMMYFUNCTION("IF(ISBLANK(N27), """", GOOGLETRANSLATE(N27, ""en"", ""ht""))"),"")</f>
        <v/>
      </c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</row>
    <row r="28" ht="14.25" customHeight="1">
      <c r="A28" s="22" t="s">
        <v>83</v>
      </c>
      <c r="B28" s="22" t="s">
        <v>136</v>
      </c>
      <c r="C28" s="13"/>
      <c r="D28" s="13"/>
      <c r="E28" s="13" t="str">
        <f>IFERROR(__xludf.DUMMYFUNCTION("IF(ISBLANK(C28), """", GOOGLETRANSLATE(C28, ""en"", ""ht""))"),"")</f>
        <v/>
      </c>
      <c r="F28" s="13"/>
      <c r="G28" s="13"/>
      <c r="H28" s="13"/>
      <c r="I28" s="13"/>
      <c r="J28" s="13"/>
      <c r="K28" s="13"/>
      <c r="L28" s="13" t="s">
        <v>137</v>
      </c>
      <c r="M28" s="13"/>
      <c r="N28" s="13"/>
      <c r="O28" s="13"/>
      <c r="P28" s="13" t="str">
        <f>IFERROR(__xludf.DUMMYFUNCTION("IF(ISBLANK(N28), """", GOOGLETRANSLATE(N28, ""en"", ""ht""))"),"")</f>
        <v/>
      </c>
      <c r="Q28" s="13"/>
      <c r="R28" s="13" t="s">
        <v>138</v>
      </c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</row>
    <row r="29" ht="14.25" customHeight="1">
      <c r="A29" s="22" t="s">
        <v>83</v>
      </c>
      <c r="B29" s="22" t="s">
        <v>139</v>
      </c>
      <c r="C29" s="13"/>
      <c r="D29" s="13"/>
      <c r="E29" s="13" t="str">
        <f>IFERROR(__xludf.DUMMYFUNCTION("IF(ISBLANK(C29), """", GOOGLETRANSLATE(C29, ""en"", ""ht""))"),"")</f>
        <v/>
      </c>
      <c r="F29" s="13"/>
      <c r="G29" s="13"/>
      <c r="H29" s="13"/>
      <c r="I29" s="13"/>
      <c r="J29" s="13"/>
      <c r="K29" s="13"/>
      <c r="L29" s="13" t="s">
        <v>140</v>
      </c>
      <c r="M29" s="13"/>
      <c r="N29" s="13"/>
      <c r="O29" s="13"/>
      <c r="P29" s="13" t="str">
        <f>IFERROR(__xludf.DUMMYFUNCTION("IF(ISBLANK(N29), """", GOOGLETRANSLATE(N29, ""en"", ""ht""))"),"")</f>
        <v/>
      </c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</row>
    <row r="30" ht="14.25" customHeight="1">
      <c r="A30" s="22" t="s">
        <v>83</v>
      </c>
      <c r="B30" s="22" t="s">
        <v>141</v>
      </c>
      <c r="C30" s="13"/>
      <c r="D30" s="13"/>
      <c r="E30" s="13" t="str">
        <f>IFERROR(__xludf.DUMMYFUNCTION("IF(ISBLANK(C30), """", GOOGLETRANSLATE(C30, ""en"", ""ht""))"),"")</f>
        <v/>
      </c>
      <c r="F30" s="13"/>
      <c r="G30" s="13"/>
      <c r="H30" s="13"/>
      <c r="I30" s="13"/>
      <c r="J30" s="13"/>
      <c r="K30" s="13"/>
      <c r="L30" s="13" t="s">
        <v>142</v>
      </c>
      <c r="M30" s="13"/>
      <c r="N30" s="13"/>
      <c r="O30" s="13"/>
      <c r="P30" s="13" t="str">
        <f>IFERROR(__xludf.DUMMYFUNCTION("IF(ISBLANK(N30), """", GOOGLETRANSLATE(N30, ""en"", ""ht""))"),"")</f>
        <v/>
      </c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</row>
    <row r="31" ht="14.25" customHeight="1">
      <c r="A31" s="22" t="s">
        <v>55</v>
      </c>
      <c r="B31" s="22"/>
      <c r="C31" s="13"/>
      <c r="D31" s="13"/>
      <c r="E31" s="13" t="str">
        <f>IFERROR(__xludf.DUMMYFUNCTION("IF(ISBLANK(C31), """", GOOGLETRANSLATE(C31, ""en"", ""ht""))"),"")</f>
        <v/>
      </c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 t="str">
        <f>IFERROR(__xludf.DUMMYFUNCTION("IF(ISBLANK(N31), """", GOOGLETRANSLATE(N31, ""en"", ""ht""))"),"")</f>
        <v/>
      </c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</row>
    <row r="32" ht="14.25" customHeight="1">
      <c r="A32" s="22" t="s">
        <v>55</v>
      </c>
      <c r="B32" s="22"/>
      <c r="C32" s="13"/>
      <c r="D32" s="13"/>
      <c r="E32" s="13" t="str">
        <f>IFERROR(__xludf.DUMMYFUNCTION("IF(ISBLANK(C32), """", GOOGLETRANSLATE(C32, ""en"", ""ht""))"),"")</f>
        <v/>
      </c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 t="str">
        <f>IFERROR(__xludf.DUMMYFUNCTION("IF(ISBLANK(N32), """", GOOGLETRANSLATE(N32, ""en"", ""ht""))"),"")</f>
        <v/>
      </c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</row>
    <row r="33" ht="14.25" customHeight="1">
      <c r="A33" s="9"/>
      <c r="B33" s="9"/>
      <c r="C33" s="9"/>
      <c r="D33" s="13"/>
      <c r="E33" s="20" t="str">
        <f>IFERROR(__xludf.DUMMYFUNCTION("IF(ISBLANK(C33), """", GOOGLETRANSLATE(C33, ""en"", ""ht""))"),"")</f>
        <v/>
      </c>
      <c r="F33" s="9"/>
      <c r="G33" s="9"/>
      <c r="H33" s="9"/>
      <c r="I33" s="9"/>
      <c r="J33" s="9"/>
      <c r="K33" s="9"/>
      <c r="L33" s="9"/>
      <c r="M33" s="9"/>
      <c r="N33" s="9"/>
      <c r="O33" s="13"/>
      <c r="P33" s="20" t="str">
        <f>IFERROR(__xludf.DUMMYFUNCTION("IF(ISBLANK(N33), """", GOOGLETRANSLATE(N33, ""en"", ""ht""))"),"")</f>
        <v/>
      </c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ht="14.25" customHeight="1">
      <c r="A34" s="22" t="s">
        <v>29</v>
      </c>
      <c r="B34" s="22" t="s">
        <v>143</v>
      </c>
      <c r="C34" s="13" t="s">
        <v>31</v>
      </c>
      <c r="D34" s="13" t="s">
        <v>31</v>
      </c>
      <c r="E34" s="13" t="str">
        <f>IFERROR(__xludf.DUMMYFUNCTION("IF(ISBLANK(C34), """", GOOGLETRANSLATE(C34, ""en"", ""ht""))"),"PA GEN_ETIKÈT")</f>
        <v>PA GEN_ETIKÈT</v>
      </c>
      <c r="F34" s="13"/>
      <c r="G34" s="13"/>
      <c r="H34" s="13" t="s">
        <v>144</v>
      </c>
      <c r="I34" s="13"/>
      <c r="J34" s="13"/>
      <c r="K34" s="13"/>
      <c r="L34" s="13"/>
      <c r="M34" s="13"/>
      <c r="N34" s="13"/>
      <c r="O34" s="13"/>
      <c r="P34" s="13" t="str">
        <f>IFERROR(__xludf.DUMMYFUNCTION("IF(ISBLANK(N34), """", GOOGLETRANSLATE(N34, ""en"", ""ht""))"),"")</f>
        <v/>
      </c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</row>
    <row r="35" ht="14.25" customHeight="1">
      <c r="A35" s="22" t="s">
        <v>145</v>
      </c>
      <c r="B35" s="22" t="s">
        <v>90</v>
      </c>
      <c r="C35" s="13" t="s">
        <v>31</v>
      </c>
      <c r="D35" s="13" t="s">
        <v>31</v>
      </c>
      <c r="E35" s="13" t="str">
        <f>IFERROR(__xludf.DUMMYFUNCTION("IF(ISBLANK(C35), """", GOOGLETRANSLATE(C35, ""en"", ""ht""))"),"PA GEN_ETIKÈT")</f>
        <v>PA GEN_ETIKÈT</v>
      </c>
      <c r="F35" s="13"/>
      <c r="G35" s="13"/>
      <c r="H35" s="13" t="s">
        <v>66</v>
      </c>
      <c r="I35" s="13"/>
      <c r="J35" s="13"/>
      <c r="K35" s="13"/>
      <c r="L35" s="23" t="s">
        <v>146</v>
      </c>
      <c r="M35" s="13"/>
      <c r="N35" s="13"/>
      <c r="O35" s="13"/>
      <c r="P35" s="13" t="str">
        <f>IFERROR(__xludf.DUMMYFUNCTION("IF(ISBLANK(N35), """", GOOGLETRANSLATE(N35, ""en"", ""ht""))"),"")</f>
        <v/>
      </c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</row>
    <row r="36" ht="13.5" customHeight="1">
      <c r="A36" s="22" t="s">
        <v>83</v>
      </c>
      <c r="B36" s="22" t="s">
        <v>147</v>
      </c>
      <c r="C36" s="13"/>
      <c r="D36" s="13"/>
      <c r="E36" s="13" t="str">
        <f>IFERROR(__xludf.DUMMYFUNCTION("IF(ISBLANK(C36), """", GOOGLETRANSLATE(C36, ""en"", ""ht""))"),"")</f>
        <v/>
      </c>
      <c r="F36" s="13"/>
      <c r="G36" s="13"/>
      <c r="H36" s="13"/>
      <c r="I36" s="13"/>
      <c r="J36" s="13"/>
      <c r="K36" s="13"/>
      <c r="L36" s="23" t="s">
        <v>148</v>
      </c>
      <c r="M36" s="13"/>
      <c r="N36" s="13"/>
      <c r="O36" s="13"/>
      <c r="P36" s="13" t="str">
        <f>IFERROR(__xludf.DUMMYFUNCTION("IF(ISBLANK(N36), """", GOOGLETRANSLATE(N36, ""en"", ""ht""))"),"")</f>
        <v/>
      </c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</row>
    <row r="37" ht="14.25" customHeight="1">
      <c r="A37" s="22" t="s">
        <v>149</v>
      </c>
      <c r="B37" s="22" t="s">
        <v>150</v>
      </c>
      <c r="C37" s="13" t="s">
        <v>31</v>
      </c>
      <c r="D37" s="13" t="s">
        <v>31</v>
      </c>
      <c r="E37" s="13" t="str">
        <f>IFERROR(__xludf.DUMMYFUNCTION("IF(ISBLANK(C37), """", GOOGLETRANSLATE(C37, ""en"", ""ht""))"),"PA GEN_ETIKÈT")</f>
        <v>PA GEN_ETIKÈT</v>
      </c>
      <c r="F37" s="13"/>
      <c r="G37" s="13"/>
      <c r="H37" s="13" t="s">
        <v>66</v>
      </c>
      <c r="I37" s="13"/>
      <c r="J37" s="13"/>
      <c r="K37" s="13"/>
      <c r="L37" s="23" t="s">
        <v>146</v>
      </c>
      <c r="M37" s="13"/>
      <c r="N37" s="13"/>
      <c r="O37" s="13"/>
      <c r="P37" s="13" t="str">
        <f>IFERROR(__xludf.DUMMYFUNCTION("IF(ISBLANK(N37), """", GOOGLETRANSLATE(N37, ""en"", ""ht""))"),"")</f>
        <v/>
      </c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</row>
    <row r="38" ht="14.25" customHeight="1">
      <c r="A38" s="22" t="s">
        <v>83</v>
      </c>
      <c r="B38" s="22" t="s">
        <v>151</v>
      </c>
      <c r="C38" s="13"/>
      <c r="D38" s="13"/>
      <c r="E38" s="13" t="str">
        <f>IFERROR(__xludf.DUMMYFUNCTION("IF(ISBLANK(C38), """", GOOGLETRANSLATE(C38, ""en"", ""ht""))"),"")</f>
        <v/>
      </c>
      <c r="F38" s="13"/>
      <c r="G38" s="13"/>
      <c r="H38" s="13"/>
      <c r="I38" s="13"/>
      <c r="J38" s="13"/>
      <c r="K38" s="13"/>
      <c r="L38" s="23" t="s">
        <v>152</v>
      </c>
      <c r="M38" s="13"/>
      <c r="N38" s="13"/>
      <c r="O38" s="13"/>
      <c r="P38" s="13" t="str">
        <f>IFERROR(__xludf.DUMMYFUNCTION("IF(ISBLANK(N38), """", GOOGLETRANSLATE(N38, ""en"", ""ht""))"),"")</f>
        <v/>
      </c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</row>
    <row r="39" ht="14.25" customHeight="1">
      <c r="A39" s="22" t="s">
        <v>55</v>
      </c>
      <c r="B39" s="22"/>
      <c r="C39" s="13"/>
      <c r="D39" s="13"/>
      <c r="E39" s="13" t="str">
        <f>IFERROR(__xludf.DUMMYFUNCTION("IF(ISBLANK(C39), """", GOOGLETRANSLATE(C39, ""en"", ""ht""))"),"")</f>
        <v/>
      </c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 t="str">
        <f>IFERROR(__xludf.DUMMYFUNCTION("IF(ISBLANK(N39), """", GOOGLETRANSLATE(N39, ""en"", ""ht""))"),"")</f>
        <v/>
      </c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9.71"/>
    <col customWidth="1" min="3" max="3" width="26.71"/>
    <col customWidth="1" min="4" max="4" width="17.57"/>
    <col customWidth="1" min="5" max="8" width="7.71"/>
    <col customWidth="1" min="9" max="21" width="15.14"/>
  </cols>
  <sheetData>
    <row r="1" ht="14.25" customHeight="1">
      <c r="A1" s="3" t="s">
        <v>1</v>
      </c>
      <c r="B1" s="3" t="s">
        <v>3</v>
      </c>
      <c r="C1" s="3" t="s">
        <v>9</v>
      </c>
      <c r="D1" s="7" t="s">
        <v>6</v>
      </c>
      <c r="E1" s="8" t="s">
        <v>13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ht="14.25" customHeight="1">
      <c r="A2" s="12" t="s">
        <v>32</v>
      </c>
      <c r="B2" s="12" t="s">
        <v>33</v>
      </c>
      <c r="C2" s="12" t="s">
        <v>34</v>
      </c>
      <c r="D2" s="13" t="s">
        <v>35</v>
      </c>
      <c r="E2" s="6" t="str">
        <f>IFERROR(__xludf.DUMMYFUNCTION("IF(ISBLANK(C2), """", GOOGLETRANSLATE(C2, ""en"", ""ht""))"),"Wi")</f>
        <v>Wi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 ht="14.25" customHeight="1">
      <c r="A3" s="12" t="s">
        <v>32</v>
      </c>
      <c r="B3" s="12" t="s">
        <v>39</v>
      </c>
      <c r="C3" s="12" t="s">
        <v>40</v>
      </c>
      <c r="D3" s="13" t="s">
        <v>41</v>
      </c>
      <c r="E3" s="6" t="str">
        <f>IFERROR(__xludf.DUMMYFUNCTION("IF(ISBLANK(C3), """", GOOGLETRANSLATE(C3, ""en"", ""ht""))"),"Non")</f>
        <v>Non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ht="14.25" customHeight="1">
      <c r="A4" s="12" t="s">
        <v>44</v>
      </c>
      <c r="B4" s="15" t="s">
        <v>46</v>
      </c>
      <c r="C4" s="16" t="s">
        <v>47</v>
      </c>
      <c r="D4" s="13" t="s">
        <v>49</v>
      </c>
      <c r="E4" s="6" t="str">
        <f>IFERROR(__xludf.DUMMYFUNCTION("IF(ISBLANK(C4), """", GOOGLETRANSLATE(C4, ""en"", ""ht""))"),"Kreye yon nouvo moun")</f>
        <v>Kreye yon nouvo moun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</row>
    <row r="5" ht="14.25" customHeight="1">
      <c r="A5" s="12" t="s">
        <v>44</v>
      </c>
      <c r="B5" s="15" t="s">
        <v>51</v>
      </c>
      <c r="C5" s="16" t="s">
        <v>52</v>
      </c>
      <c r="D5" s="13" t="s">
        <v>53</v>
      </c>
      <c r="E5" s="6" t="str">
        <f>IFERROR(__xludf.DUMMYFUNCTION("IF(ISBLANK(C5), """", GOOGLETRANSLATE(C5, ""en"", ""ht""))"),"Chwazi yon moun ki deja egziste")</f>
        <v>Chwazi yon moun ki deja egziste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ht="14.25" customHeight="1">
      <c r="A6" s="6" t="s">
        <v>56</v>
      </c>
      <c r="B6" s="15" t="s">
        <v>57</v>
      </c>
      <c r="C6" s="16" t="s">
        <v>58</v>
      </c>
      <c r="D6" s="13" t="s">
        <v>59</v>
      </c>
      <c r="E6" s="6" t="str">
        <f>IFERROR(__xludf.DUMMYFUNCTION("IF(ISBLANK(C6), """", GOOGLETRANSLATE(C6, ""en"", ""ht""))"),"Enfimyè")</f>
        <v>Enfimyè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ht="14.25" customHeight="1">
      <c r="A7" s="17" t="s">
        <v>56</v>
      </c>
      <c r="B7" s="18" t="s">
        <v>60</v>
      </c>
      <c r="C7" s="19" t="s">
        <v>61</v>
      </c>
      <c r="D7" s="21" t="str">
        <f>IFERROR(__xludf.DUMMYFUNCTION("GOOGLETRANSLATE(C7, ""en"", ""fr"")"),"Entrepreneur en santé communautaire")</f>
        <v>Entrepreneur en santé communautaire</v>
      </c>
      <c r="E7" s="17" t="str">
        <f>IFERROR(__xludf.DUMMYFUNCTION("GOOGLETRANSLATE(C7, ""en"", ""ht"")"),"Antreprenè Sante Kominotè")</f>
        <v>Antreprenè Sante Kominotè</v>
      </c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</row>
    <row r="8" ht="14.25" customHeight="1">
      <c r="A8" s="6" t="s">
        <v>56</v>
      </c>
      <c r="B8" s="6" t="s">
        <v>63</v>
      </c>
      <c r="C8" s="6" t="s">
        <v>64</v>
      </c>
      <c r="D8" s="13" t="s">
        <v>64</v>
      </c>
      <c r="E8" s="6" t="str">
        <f>IFERROR(__xludf.DUMMYFUNCTION("IF(ISBLANK(C8), """", GOOGLETRANSLATE(C8, ""en"", ""ht""))"),"Pasyan")</f>
        <v>Pasyan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</row>
    <row r="9" ht="14.25" customHeight="1">
      <c r="A9" s="6" t="s">
        <v>56</v>
      </c>
      <c r="B9" s="15" t="s">
        <v>68</v>
      </c>
      <c r="C9" s="16" t="s">
        <v>69</v>
      </c>
      <c r="D9" s="13" t="s">
        <v>70</v>
      </c>
      <c r="E9" s="6" t="str">
        <f>IFERROR(__xludf.DUMMYFUNCTION("IF(ISBLANK(C9), """", GOOGLETRANSLATE(C9, ""en"", ""ht""))"),"Lòt")</f>
        <v>Lòt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</row>
    <row r="10" ht="14.25" customHeight="1">
      <c r="A10" s="6" t="s">
        <v>72</v>
      </c>
      <c r="B10" s="15" t="s">
        <v>73</v>
      </c>
      <c r="C10" s="16" t="s">
        <v>74</v>
      </c>
      <c r="D10" s="13" t="s">
        <v>75</v>
      </c>
      <c r="E10" s="6" t="str">
        <f>IFERROR(__xludf.DUMMYFUNCTION("IF(ISBLANK(C10), """", GOOGLETRANSLATE(C10, ""en"", ""ht""))"),"Antre non an manyèlman")</f>
        <v>Antre non an manyèlman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</row>
    <row r="11" ht="14.25" customHeight="1">
      <c r="A11" s="6" t="s">
        <v>72</v>
      </c>
      <c r="B11" s="15" t="s">
        <v>76</v>
      </c>
      <c r="C11" s="16" t="s">
        <v>77</v>
      </c>
      <c r="D11" s="13" t="s">
        <v>78</v>
      </c>
      <c r="E11" s="6" t="str">
        <f>IFERROR(__xludf.DUMMYFUNCTION("IF(ISBLANK(C11), """", GOOGLETRANSLATE(C11, ""en"", ""ht""))"),"Yo te bay non kontak prensipal la (pa egzanp, Distri Mary)")</f>
        <v>Yo te bay non kontak prensipal la (pa egzanp, Distri Mary)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</row>
    <row r="12" ht="14.25" customHeight="1">
      <c r="A12" s="12" t="s">
        <v>79</v>
      </c>
      <c r="B12" s="12" t="s">
        <v>33</v>
      </c>
      <c r="C12" s="12" t="s">
        <v>34</v>
      </c>
      <c r="D12" s="13" t="s">
        <v>35</v>
      </c>
      <c r="E12" s="6" t="str">
        <f>IFERROR(__xludf.DUMMYFUNCTION("IF(ISBLANK(C12), """", GOOGLETRANSLATE(C12, ""en"", ""ht""))"),"Wi")</f>
        <v>Wi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</row>
    <row r="13" ht="14.25" customHeight="1">
      <c r="A13" s="12" t="s">
        <v>79</v>
      </c>
      <c r="B13" s="12" t="s">
        <v>39</v>
      </c>
      <c r="C13" s="12" t="s">
        <v>81</v>
      </c>
      <c r="D13" s="13" t="s">
        <v>82</v>
      </c>
      <c r="E13" s="6" t="str">
        <f>IFERROR(__xludf.DUMMYFUNCTION("IF(ISBLANK(C13), """", GOOGLETRANSLATE(C13, ""en"", ""ht""))"),"Non, mwen vle bay li yon non manyèlman.")</f>
        <v>Non, mwen vle bay li yon non manyèlman.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</row>
    <row r="14" ht="14.25" customHeight="1">
      <c r="A14" s="6" t="s">
        <v>90</v>
      </c>
      <c r="B14" s="15" t="s">
        <v>91</v>
      </c>
      <c r="C14" s="19" t="s">
        <v>92</v>
      </c>
      <c r="D14" s="13" t="s">
        <v>93</v>
      </c>
      <c r="E14" s="6" t="str">
        <f>IFERROR(__xludf.DUMMYFUNCTION("IF(ISBLANK(C14), """", GOOGLETRANSLATE(C14, ""en"", ""ht""))"),"Depatman Peyi a")</f>
        <v>Depatman Peyi a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</row>
    <row r="15" ht="14.25" customHeight="1">
      <c r="A15" s="6" t="s">
        <v>90</v>
      </c>
      <c r="B15" s="15" t="s">
        <v>97</v>
      </c>
      <c r="C15" s="19" t="s">
        <v>98</v>
      </c>
      <c r="D15" s="13" t="s">
        <v>99</v>
      </c>
      <c r="E15" s="6" t="str">
        <f>IFERROR(__xludf.DUMMYFUNCTION("IF(ISBLANK(C15), """", GOOGLETRANSLATE(C15, ""en"", ""ht""))"),"Rejyon Sipèvizè")</f>
        <v>Rejyon Sipèvizè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</row>
    <row r="16" ht="14.25" customHeight="1">
      <c r="A16" s="6" t="s">
        <v>90</v>
      </c>
      <c r="B16" s="15" t="s">
        <v>100</v>
      </c>
      <c r="C16" s="19" t="s">
        <v>101</v>
      </c>
      <c r="D16" s="13" t="s">
        <v>102</v>
      </c>
      <c r="E16" s="6" t="str">
        <f>IFERROR(__xludf.DUMMYFUNCTION("IF(ISBLANK(C16), """", GOOGLETRANSLATE(C16, ""en"", ""ht""))"),"Zòn Enfimyè")</f>
        <v>Zòn Enfimyè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</row>
    <row r="17" ht="14.25" customHeight="1">
      <c r="A17" s="6" t="s">
        <v>109</v>
      </c>
      <c r="B17" s="15" t="s">
        <v>91</v>
      </c>
      <c r="C17" s="19" t="s">
        <v>111</v>
      </c>
      <c r="D17" s="13" t="s">
        <v>112</v>
      </c>
      <c r="E17" s="6" t="str">
        <f>IFERROR(__xludf.DUMMYFUNCTION("IF(ISBLANK(C17), """", GOOGLETRANSLATE(C17, ""en"", ""ht""))"),"Depatman ${contact_name} a")</f>
        <v>Depatman ${contact_name} a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</row>
    <row r="18" ht="14.25" customHeight="1">
      <c r="A18" s="6" t="s">
        <v>109</v>
      </c>
      <c r="B18" s="15" t="s">
        <v>97</v>
      </c>
      <c r="C18" s="19" t="s">
        <v>115</v>
      </c>
      <c r="D18" s="13" t="s">
        <v>116</v>
      </c>
      <c r="E18" s="6" t="str">
        <f>IFERROR(__xludf.DUMMYFUNCTION("IF(ISBLANK(C18), """", GOOGLETRANSLATE(C18, ""en"", ""ht""))"),"Rejyon ${contact_name} la")</f>
        <v>Rejyon ${contact_name} la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</row>
    <row r="19" ht="14.25" customHeight="1">
      <c r="A19" s="6" t="s">
        <v>109</v>
      </c>
      <c r="B19" s="15" t="s">
        <v>100</v>
      </c>
      <c r="C19" s="19" t="s">
        <v>119</v>
      </c>
      <c r="D19" s="13" t="s">
        <v>121</v>
      </c>
      <c r="E19" s="6" t="str">
        <f>IFERROR(__xludf.DUMMYFUNCTION("IF(ISBLANK(C19), """", GOOGLETRANSLATE(C19, ""en"", ""ht""))"),"Zòn ${contact_name} a")</f>
        <v>Zòn ${contact_name} a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8.14"/>
    <col customWidth="1" min="2" max="2" width="12.71"/>
    <col customWidth="1" min="3" max="3" width="20.14"/>
    <col customWidth="1" min="4" max="4" width="5.71"/>
    <col customWidth="1" min="5" max="5" width="14.29"/>
    <col customWidth="1" min="6" max="6" width="34.0"/>
    <col customWidth="1" min="7" max="16" width="7.71"/>
    <col customWidth="1" min="17" max="26" width="15.14"/>
  </cols>
  <sheetData>
    <row r="1" ht="14.25" customHeight="1">
      <c r="A1" s="2" t="s">
        <v>2</v>
      </c>
      <c r="B1" s="2" t="s">
        <v>5</v>
      </c>
      <c r="C1" s="2" t="s">
        <v>7</v>
      </c>
      <c r="D1" s="2" t="s">
        <v>8</v>
      </c>
      <c r="E1" s="2" t="s">
        <v>10</v>
      </c>
      <c r="F1" s="2" t="s">
        <v>11</v>
      </c>
      <c r="G1" s="2" t="s">
        <v>12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4.25" customHeight="1">
      <c r="A2" s="6" t="s">
        <v>27</v>
      </c>
      <c r="B2" s="6" t="s">
        <v>28</v>
      </c>
      <c r="C2" s="14" t="str">
        <f>TEXT(NOW(), "yyyy-mm-dd_HH-MM")</f>
        <v>2026-09-24_00-40</v>
      </c>
      <c r="D2" s="6"/>
      <c r="E2" s="6" t="s">
        <v>36</v>
      </c>
      <c r="F2" s="6"/>
      <c r="G2" s="6" t="s">
        <v>37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4.2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4.2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4.2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4.2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4.2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4.2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4.2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4.2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4.2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4.2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4.2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4.2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4.2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4.2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4.2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4.2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4.2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4.2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4.2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