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<sst xmlns="http://schemas.openxmlformats.org/spreadsheetml/2006/main" count="306" uniqueCount="183">
  <si>
    <t>type</t>
  </si>
  <si>
    <t>list_name</t>
  </si>
  <si>
    <t>form_title</t>
  </si>
  <si>
    <t>name</t>
  </si>
  <si>
    <t>label::en</t>
  </si>
  <si>
    <t>label::fr</t>
  </si>
  <si>
    <t>form_id</t>
  </si>
  <si>
    <t>version</t>
  </si>
  <si>
    <t>style</t>
  </si>
  <si>
    <t>path</t>
  </si>
  <si>
    <t>instance_name</t>
  </si>
  <si>
    <t>default_language</t>
  </si>
  <si>
    <t>label::cr</t>
  </si>
  <si>
    <t>required</t>
  </si>
  <si>
    <t>relevant</t>
  </si>
  <si>
    <t>appearance</t>
  </si>
  <si>
    <t>read_only</t>
  </si>
  <si>
    <t>Edit PLACE_NAME</t>
  </si>
  <si>
    <t>contact:PLACE_TYPE:edit</t>
  </si>
  <si>
    <t>constraint</t>
  </si>
  <si>
    <t>constraint_message</t>
  </si>
  <si>
    <t>calculation</t>
  </si>
  <si>
    <t>choice_filter</t>
  </si>
  <si>
    <t>hint::en</t>
  </si>
  <si>
    <t>hint::fr</t>
  </si>
  <si>
    <t>hint::cr</t>
  </si>
  <si>
    <t>label</t>
  </si>
  <si>
    <t>default</t>
  </si>
  <si>
    <t>notes</t>
  </si>
  <si>
    <t>begin group</t>
  </si>
  <si>
    <t>inputs</t>
  </si>
  <si>
    <t>NO_LABEL</t>
  </si>
  <si>
    <t>yes_no</t>
  </si>
  <si>
    <t>true</t>
  </si>
  <si>
    <t>Yes</t>
  </si>
  <si>
    <t>Oui</t>
  </si>
  <si>
    <t>Wi</t>
  </si>
  <si>
    <t>false</t>
  </si>
  <si>
    <t>No</t>
  </si>
  <si>
    <t>user</t>
  </si>
  <si>
    <t>Non</t>
  </si>
  <si>
    <t>contact</t>
  </si>
  <si>
    <t>new_person</t>
  </si>
  <si>
    <t>data</t>
  </si>
  <si>
    <t>string</t>
  </si>
  <si>
    <t>en</t>
  </si>
  <si>
    <t>contact_id</t>
  </si>
  <si>
    <t>Create a new person</t>
  </si>
  <si>
    <t>Créer une nouvelle personne</t>
  </si>
  <si>
    <t>Kreye yon nouvo moun</t>
  </si>
  <si>
    <t>Contact ID of the logged in user</t>
  </si>
  <si>
    <t>facility_id</t>
  </si>
  <si>
    <t>old_person</t>
  </si>
  <si>
    <t>Select an existing person</t>
  </si>
  <si>
    <t>Choisir une personne existant</t>
  </si>
  <si>
    <t>Chwazi yon moun ki egziste</t>
  </si>
  <si>
    <t>Place ID of the logged in user</t>
  </si>
  <si>
    <t>roles</t>
  </si>
  <si>
    <t>program_officer</t>
  </si>
  <si>
    <t>Program Officer</t>
  </si>
  <si>
    <t>Name of the logged in user</t>
  </si>
  <si>
    <t>Chargé de programme</t>
  </si>
  <si>
    <t>end group</t>
  </si>
  <si>
    <t>Ofisye Pwogram nan</t>
  </si>
  <si>
    <t>nurse</t>
  </si>
  <si>
    <t>Nurse</t>
  </si>
  <si>
    <t>Infirmière</t>
  </si>
  <si>
    <t>Enfimyè</t>
  </si>
  <si>
    <t>che</t>
  </si>
  <si>
    <t>Community Health Entrepreneur</t>
  </si>
  <si>
    <t>PLACE_TYPE</t>
  </si>
  <si>
    <t>field-list</t>
  </si>
  <si>
    <t>Antreprenè Sante Kominotè</t>
  </si>
  <si>
    <t>hidden</t>
  </si>
  <si>
    <t>parent</t>
  </si>
  <si>
    <t>nurse_supervisor</t>
  </si>
  <si>
    <t>Nurse Supervisor</t>
  </si>
  <si>
    <t>yes</t>
  </si>
  <si>
    <t>Infirmière superviseure</t>
  </si>
  <si>
    <t>Sipèvizè Enfimyè</t>
  </si>
  <si>
    <t>patient</t>
  </si>
  <si>
    <t>Patient</t>
  </si>
  <si>
    <t>Pasyan</t>
  </si>
  <si>
    <t>other</t>
  </si>
  <si>
    <t>Other</t>
  </si>
  <si>
    <t>Autre</t>
  </si>
  <si>
    <t>Lòt</t>
  </si>
  <si>
    <t>name_type</t>
  </si>
  <si>
    <t>manual</t>
  </si>
  <si>
    <t>Enter the name manually</t>
  </si>
  <si>
    <t>Entrer le nom manuellement</t>
  </si>
  <si>
    <t>Antre non an alamen</t>
  </si>
  <si>
    <t>Updated to be a group, due to 3889</t>
  </si>
  <si>
    <t>automatic</t>
  </si>
  <si>
    <t>Named after primary contact (eg Mary District)</t>
  </si>
  <si>
    <t>calculate</t>
  </si>
  <si>
    <t>contact_name</t>
  </si>
  <si>
    <t xml:space="preserve">Le nom est donné automatiquement </t>
  </si>
  <si>
    <t>Non an fèt otomatikman</t>
  </si>
  <si>
    <t>../name</t>
  </si>
  <si>
    <t>Seems redundant, but needed to access name from choice label</t>
  </si>
  <si>
    <t>yes_no_generated_name</t>
  </si>
  <si>
    <t>_id</t>
  </si>
  <si>
    <t>Primary Contact</t>
  </si>
  <si>
    <t>Contact primaire</t>
  </si>
  <si>
    <t>Kontak prensipal</t>
  </si>
  <si>
    <t>select-contact type-person</t>
  </si>
  <si>
    <t>No, I want to name it manually</t>
  </si>
  <si>
    <t>Select the Primary Contact</t>
  </si>
  <si>
    <t>Non, je veux nommer ça manuellement</t>
  </si>
  <si>
    <t>Sélectionnez le contact primaire</t>
  </si>
  <si>
    <t>Non, mwen vle bay non an alamen</t>
  </si>
  <si>
    <t>Chwazi kontak prensipal la</t>
  </si>
  <si>
    <t>place_type</t>
  </si>
  <si>
    <t>district_hospital</t>
  </si>
  <si>
    <t>Country Department</t>
  </si>
  <si>
    <t>District</t>
  </si>
  <si>
    <t>Distri</t>
  </si>
  <si>
    <t>select_one yes_no_generated_name</t>
  </si>
  <si>
    <t>is_name_generated</t>
  </si>
  <si>
    <t>Would you like to name the place after the primary contact: "${generated_name}"?</t>
  </si>
  <si>
    <t>health_center</t>
  </si>
  <si>
    <t>Voulez-vous nommer l'endroit: "${generated_name}"?</t>
  </si>
  <si>
    <t>Supervisor Region</t>
  </si>
  <si>
    <t>Centre de santé</t>
  </si>
  <si>
    <t>Èske w ta renmen bay kote a non kontak prensipal la: "${generated_name}"?</t>
  </si>
  <si>
    <t>Sant sante</t>
  </si>
  <si>
    <t>not(${_id}) or selected( . , 'true') or boolean(${_id})</t>
  </si>
  <si>
    <t>columns-pack</t>
  </si>
  <si>
    <t>boolean(${_id})</t>
  </si>
  <si>
    <t>clinic</t>
  </si>
  <si>
    <t>Nurse Zone</t>
  </si>
  <si>
    <t>if( ${generated_name} = ../name, 'true', 'false')</t>
  </si>
  <si>
    <t>Zone</t>
  </si>
  <si>
    <t>Zòn</t>
  </si>
  <si>
    <t>if (not(${_id}), 'false', .)</t>
  </si>
  <si>
    <t>generated_name</t>
  </si>
  <si>
    <t>${contact_name}'s Department</t>
  </si>
  <si>
    <t>District de ${contact_name}</t>
  </si>
  <si>
    <t>Distri ${contact_name}</t>
  </si>
  <si>
    <t>${generated_name_translation}</t>
  </si>
  <si>
    <t>Name of this ${place_type_translation}</t>
  </si>
  <si>
    <t>Nom pour ${place_type_translation}</t>
  </si>
  <si>
    <t>Non pou ${place_type_translation}</t>
  </si>
  <si>
    <t>boolean(${_id}) or not(${_id}) or not(selected(${is_name_generated}, 'true'))  or not(selected(${is_name_generated}, 'yes'))</t>
  </si>
  <si>
    <t>${contact_name}'s Region</t>
  </si>
  <si>
    <t>Centre de santé de ${contact_name}</t>
  </si>
  <si>
    <t>Sant sante ${contact_name}</t>
  </si>
  <si>
    <t>if( ( selected(${is_name_generated}, 'true') or selected(${is_name_generated}, 'yes') ), ${generated_name}, .)</t>
  </si>
  <si>
    <t>external_id</t>
  </si>
  <si>
    <t>External ID</t>
  </si>
  <si>
    <t>${contact_name}'s Zone</t>
  </si>
  <si>
    <t>Code externe</t>
  </si>
  <si>
    <t>Zone de ${contact_name}</t>
  </si>
  <si>
    <t>Zòn ${contact_name}</t>
  </si>
  <si>
    <t>Kòd ekstèn</t>
  </si>
  <si>
    <t>Notes</t>
  </si>
  <si>
    <t>Nòt</t>
  </si>
  <si>
    <t>multiline</t>
  </si>
  <si>
    <t>geolocation</t>
  </si>
  <si>
    <t>concat(../../inputs/meta/location/lat, concat(' ', ../../inputs/meta/location/long))</t>
  </si>
  <si>
    <t>meta</t>
  </si>
  <si>
    <t>created_by</t>
  </si>
  <si>
    <t>Cannot change and will be hidden</t>
  </si>
  <si>
    <t>created_by_person_uuid</t>
  </si>
  <si>
    <t>created_by_place_uuid</t>
  </si>
  <si>
    <t>last_edited_by</t>
  </si>
  <si>
    <t>../../../inputs/user/name</t>
  </si>
  <si>
    <t>Will be hidden</t>
  </si>
  <si>
    <t>last_edited_by_person_uuid</t>
  </si>
  <si>
    <t>../../../inputs/user/contact_id</t>
  </si>
  <si>
    <t>last_edited_by_place_uuid</t>
  </si>
  <si>
    <t>../../../inputs/user/facility_id</t>
  </si>
  <si>
    <t>init</t>
  </si>
  <si>
    <t>field-list hidden</t>
  </si>
  <si>
    <t>select_one place_type</t>
  </si>
  <si>
    <t>"PLACE_TYPE"</t>
  </si>
  <si>
    <t>place_type_translation</t>
  </si>
  <si>
    <t>jr:choice-name(${place_type},'${place_type}')</t>
  </si>
  <si>
    <t>select_one generated_name</t>
  </si>
  <si>
    <t>select_generated_name</t>
  </si>
  <si>
    <t>generated_name_translation</t>
  </si>
  <si>
    <t>if (boolean(${_id}), jr:choice-name(${select_generated_name},'${select_generated_name}'), '')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</si>
</sst>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center"/>
    </xf>
    <xf borderId="0" fillId="0" fontId="4" numFmtId="0" xfId="0" applyFont="1"/>
    <xf borderId="1" fillId="2" fontId="2" numFmtId="0" xfId="0" applyBorder="1" applyFill="1" applyFont="1"/>
    <xf borderId="0" fillId="0" fontId="3" numFmtId="0" xfId="0" applyAlignment="1" applyFont="1">
      <alignment readingOrder="0"/>
    </xf>
    <xf borderId="1" fillId="3" fontId="4" numFmtId="0" xfId="0" applyBorder="1" applyFill="1" applyFont="1"/>
    <xf borderId="1" fillId="4" fontId="4" numFmtId="0" xfId="0" applyBorder="1" applyFill="1" applyFont="1"/>
    <xf borderId="0" fillId="0" fontId="3" numFmtId="0" xfId="0" applyAlignment="1" applyFont="1">
      <alignment vertical="center"/>
    </xf>
    <xf borderId="1" fillId="4" fontId="4" numFmtId="0" xfId="0" applyAlignment="1" applyBorder="1" applyFill="1" applyFont="1">
      <alignment readingOrder="0"/>
    </xf>
    <xf borderId="1" fillId="2" fontId="4" numFmtId="0" xfId="0" applyBorder="1" applyFill="1" applyFont="1"/>
    <xf borderId="0" fillId="0" fontId="3" numFmtId="49" xfId="0" applyFont="1" applyNumberFormat="1"/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vertical="bottom"/>
    </xf>
    <xf borderId="0" fillId="0" fontId="4" numFmtId="0" xfId="0" applyAlignment="1" applyFont="1">
      <alignment readingOrder="0" vertical="bottom"/>
    </xf>
    <xf borderId="0" fillId="2" fontId="4" numFmtId="0" xfId="0" applyFill="1" applyFont="1"/>
    <xf borderId="1" fillId="5" fontId="4" numFmtId="0" xfId="0" applyBorder="1" applyFill="1" applyFont="1"/>
    <xf borderId="1" fillId="2" fontId="4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" fillId="2" fontId="4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71"/>
    <col customWidth="1" min="2" max="2" width="22.71"/>
    <col customWidth="1" min="3" max="3" width="24.29"/>
    <col customWidth="1" min="4" max="5" width="16.43"/>
    <col customWidth="1" min="6" max="6" width="8.14"/>
    <col customWidth="1" min="7" max="7" width="11.43"/>
    <col customWidth="1" min="8" max="8" width="10.71"/>
    <col customWidth="1" min="9" max="9" width="15.14"/>
    <col customWidth="1" min="10" max="10" width="32.0"/>
    <col customWidth="1" min="11" max="11" width="50.14"/>
    <col customWidth="1" min="12" max="12" width="48.71"/>
    <col customWidth="1" min="13" max="13" width="31.14"/>
    <col customWidth="1" min="14" max="14" width="33.43"/>
    <col customWidth="1" min="15" max="16" width="8.14"/>
    <col customWidth="1" min="17" max="17" width="8.71"/>
    <col customWidth="1" min="18" max="28" width="7.71"/>
    <col customWidth="1" min="29" max="30" width="15.14"/>
  </cols>
  <sheetData>
    <row r="1" ht="14.25" customHeight="1">
      <c r="A1" s="1" t="s">
        <v>0</v>
      </c>
      <c r="B1" s="1" t="s">
        <v>3</v>
      </c>
      <c r="C1" s="1" t="s">
        <v>4</v>
      </c>
      <c r="D1" s="3" t="s">
        <v>5</v>
      </c>
      <c r="E1" s="5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3" t="s">
        <v>24</v>
      </c>
      <c r="P1" s="5" t="s">
        <v>25</v>
      </c>
      <c r="Q1" s="1" t="s">
        <v>27</v>
      </c>
      <c r="R1" s="1" t="s">
        <v>28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4.25" customHeight="1">
      <c r="A2" s="10" t="s">
        <v>29</v>
      </c>
      <c r="B2" s="10" t="s">
        <v>30</v>
      </c>
      <c r="C2" s="11" t="s">
        <v>31</v>
      </c>
      <c r="D2" s="11" t="s">
        <v>31</v>
      </c>
      <c r="E2" s="13" t="s">
        <v>31</v>
      </c>
      <c r="F2" s="11"/>
      <c r="G2" s="11" t="b">
        <v>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0" t="s">
        <v>29</v>
      </c>
      <c r="B3" s="10" t="s">
        <v>39</v>
      </c>
      <c r="C3" s="11" t="s">
        <v>31</v>
      </c>
      <c r="D3" s="11" t="s">
        <v>31</v>
      </c>
      <c r="E3" s="13" t="s">
        <v>31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4.25" customHeight="1">
      <c r="A4" s="10" t="s">
        <v>44</v>
      </c>
      <c r="B4" s="10" t="s">
        <v>46</v>
      </c>
      <c r="C4" s="11" t="s">
        <v>31</v>
      </c>
      <c r="D4" s="11" t="s">
        <v>31</v>
      </c>
      <c r="E4" s="13" t="s">
        <v>31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 t="s">
        <v>50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14.25" customHeight="1">
      <c r="A5" s="10" t="s">
        <v>44</v>
      </c>
      <c r="B5" s="10" t="s">
        <v>51</v>
      </c>
      <c r="C5" s="11" t="s">
        <v>31</v>
      </c>
      <c r="D5" s="11" t="s">
        <v>31</v>
      </c>
      <c r="E5" s="13" t="s">
        <v>31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 t="s">
        <v>56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14.25" customHeight="1">
      <c r="A6" s="10" t="s">
        <v>44</v>
      </c>
      <c r="B6" s="10" t="s">
        <v>3</v>
      </c>
      <c r="C6" s="11" t="s">
        <v>31</v>
      </c>
      <c r="D6" s="11" t="s">
        <v>31</v>
      </c>
      <c r="E6" s="13" t="s">
        <v>31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 t="s">
        <v>60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10" t="s">
        <v>62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14.25" customHeight="1">
      <c r="A8" s="10" t="s">
        <v>62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4.25" customHeight="1">
      <c r="A9" s="7"/>
      <c r="B9" s="7"/>
      <c r="C9" s="7"/>
      <c r="D9" s="14"/>
      <c r="E9" s="23"/>
      <c r="F9" s="7"/>
      <c r="G9" s="7"/>
      <c r="H9" s="7"/>
      <c r="I9" s="7"/>
      <c r="J9" s="7"/>
      <c r="K9" s="7"/>
      <c r="L9" s="7"/>
      <c r="M9" s="7"/>
      <c r="N9" s="7"/>
      <c r="O9" s="14"/>
      <c r="P9" s="23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14.25" customHeight="1">
      <c r="A10" s="24" t="s">
        <v>29</v>
      </c>
      <c r="B10" s="24" t="s">
        <v>70</v>
      </c>
      <c r="C10" s="14" t="s">
        <v>31</v>
      </c>
      <c r="D10" s="14" t="s">
        <v>31</v>
      </c>
      <c r="E10" s="25" t="s">
        <v>31</v>
      </c>
      <c r="F10" s="14"/>
      <c r="G10" s="14"/>
      <c r="H10" s="14" t="s">
        <v>71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ht="14.25" customHeight="1">
      <c r="A11" s="24" t="s">
        <v>73</v>
      </c>
      <c r="B11" s="24" t="s">
        <v>74</v>
      </c>
      <c r="C11" s="14" t="s">
        <v>31</v>
      </c>
      <c r="D11" s="14" t="s">
        <v>31</v>
      </c>
      <c r="E11" s="25" t="s">
        <v>31</v>
      </c>
      <c r="F11" s="14"/>
      <c r="G11" s="14"/>
      <c r="H11" s="14"/>
      <c r="I11" s="14" t="s">
        <v>77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14.25" customHeight="1">
      <c r="A12" s="24" t="s">
        <v>73</v>
      </c>
      <c r="B12" s="24" t="s">
        <v>0</v>
      </c>
      <c r="C12" s="14" t="s">
        <v>31</v>
      </c>
      <c r="D12" s="14" t="s">
        <v>31</v>
      </c>
      <c r="E12" s="25" t="s">
        <v>31</v>
      </c>
      <c r="F12" s="14"/>
      <c r="G12" s="14"/>
      <c r="H12" s="14"/>
      <c r="I12" s="14" t="s">
        <v>77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ht="14.25" customHeight="1">
      <c r="A13" s="24" t="s">
        <v>29</v>
      </c>
      <c r="B13" s="24" t="s">
        <v>41</v>
      </c>
      <c r="C13" s="14" t="s">
        <v>31</v>
      </c>
      <c r="D13" s="14" t="s">
        <v>31</v>
      </c>
      <c r="E13" s="25" t="s">
        <v>31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 t="s">
        <v>92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ht="14.25" customHeight="1">
      <c r="A14" s="24" t="s">
        <v>44</v>
      </c>
      <c r="B14" s="24" t="s">
        <v>3</v>
      </c>
      <c r="C14" s="14" t="s">
        <v>31</v>
      </c>
      <c r="D14" s="14" t="s">
        <v>31</v>
      </c>
      <c r="E14" s="25" t="s">
        <v>31</v>
      </c>
      <c r="F14" s="14"/>
      <c r="G14" s="14"/>
      <c r="H14" s="14" t="s">
        <v>73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ht="14.25" customHeight="1">
      <c r="A15" s="24" t="s">
        <v>95</v>
      </c>
      <c r="B15" s="24" t="s">
        <v>96</v>
      </c>
      <c r="C15" s="14"/>
      <c r="D15" s="14"/>
      <c r="E15" s="14"/>
      <c r="F15" s="14"/>
      <c r="G15" s="14"/>
      <c r="H15" s="14"/>
      <c r="I15" s="14"/>
      <c r="J15" s="14"/>
      <c r="K15" s="14"/>
      <c r="L15" s="14" t="s">
        <v>99</v>
      </c>
      <c r="M15" s="14"/>
      <c r="N15" s="14"/>
      <c r="O15" s="14"/>
      <c r="P15" s="14"/>
      <c r="Q15" s="14"/>
      <c r="R15" s="14" t="s">
        <v>100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ht="14.25" customHeight="1">
      <c r="A16" s="24" t="s">
        <v>44</v>
      </c>
      <c r="B16" s="24" t="s">
        <v>102</v>
      </c>
      <c r="C16" s="14" t="s">
        <v>103</v>
      </c>
      <c r="D16" s="14" t="s">
        <v>104</v>
      </c>
      <c r="E16" s="25" t="s">
        <v>105</v>
      </c>
      <c r="F16" s="14"/>
      <c r="G16" s="14"/>
      <c r="H16" s="14" t="s">
        <v>106</v>
      </c>
      <c r="I16" s="14"/>
      <c r="J16" s="14"/>
      <c r="K16" s="14"/>
      <c r="L16" s="14"/>
      <c r="M16" s="14"/>
      <c r="N16" s="14" t="s">
        <v>108</v>
      </c>
      <c r="O16" s="14" t="s">
        <v>110</v>
      </c>
      <c r="P16" s="25" t="s">
        <v>112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ht="14.25" customHeight="1">
      <c r="A17" s="24" t="s">
        <v>62</v>
      </c>
      <c r="B17" s="2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ht="14.25" customHeight="1">
      <c r="A18" s="24" t="s">
        <v>118</v>
      </c>
      <c r="B18" s="24" t="s">
        <v>119</v>
      </c>
      <c r="C18" s="14" t="s">
        <v>120</v>
      </c>
      <c r="D18" s="14" t="s">
        <v>122</v>
      </c>
      <c r="E18" s="25" t="s">
        <v>125</v>
      </c>
      <c r="F18" s="14" t="s">
        <v>77</v>
      </c>
      <c r="G18" s="14" t="s">
        <v>127</v>
      </c>
      <c r="H18" s="14" t="s">
        <v>128</v>
      </c>
      <c r="I18" s="27" t="s">
        <v>129</v>
      </c>
      <c r="J18" s="14"/>
      <c r="K18" s="14"/>
      <c r="L18" s="27" t="s">
        <v>132</v>
      </c>
      <c r="M18" s="14"/>
      <c r="N18" s="14"/>
      <c r="O18" s="14"/>
      <c r="P18" s="14"/>
      <c r="Q18" s="14"/>
      <c r="R18" s="27" t="s">
        <v>135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ht="14.25" customHeight="1">
      <c r="A19" s="24" t="s">
        <v>95</v>
      </c>
      <c r="B19" s="24" t="s">
        <v>136</v>
      </c>
      <c r="C19" s="14"/>
      <c r="D19" s="14"/>
      <c r="E19" s="14"/>
      <c r="F19" s="14"/>
      <c r="G19" s="14"/>
      <c r="H19" s="14"/>
      <c r="I19" s="14"/>
      <c r="J19" s="14"/>
      <c r="K19" s="14"/>
      <c r="L19" s="14" t="s">
        <v>140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ht="14.25" customHeight="1">
      <c r="A20" s="24" t="s">
        <v>44</v>
      </c>
      <c r="B20" s="24" t="s">
        <v>3</v>
      </c>
      <c r="C20" s="14" t="s">
        <v>141</v>
      </c>
      <c r="D20" s="14" t="s">
        <v>142</v>
      </c>
      <c r="E20" s="25" t="s">
        <v>143</v>
      </c>
      <c r="F20" s="14" t="s">
        <v>77</v>
      </c>
      <c r="G20" s="14" t="s">
        <v>144</v>
      </c>
      <c r="H20" s="14"/>
      <c r="I20" s="14"/>
      <c r="J20" s="14"/>
      <c r="K20" s="14"/>
      <c r="L20" s="27" t="s">
        <v>148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ht="14.25" customHeight="1">
      <c r="A21" s="24" t="s">
        <v>44</v>
      </c>
      <c r="B21" s="24" t="s">
        <v>149</v>
      </c>
      <c r="C21" s="14" t="s">
        <v>150</v>
      </c>
      <c r="D21" s="14" t="s">
        <v>152</v>
      </c>
      <c r="E21" s="25" t="s">
        <v>155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ht="14.25" customHeight="1">
      <c r="A22" s="24" t="s">
        <v>44</v>
      </c>
      <c r="B22" s="24" t="s">
        <v>28</v>
      </c>
      <c r="C22" s="14" t="s">
        <v>156</v>
      </c>
      <c r="D22" s="14" t="s">
        <v>156</v>
      </c>
      <c r="E22" s="25" t="s">
        <v>157</v>
      </c>
      <c r="F22" s="14"/>
      <c r="G22" s="14"/>
      <c r="H22" s="14" t="s">
        <v>158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ht="14.25" customHeight="1">
      <c r="A23" s="24" t="s">
        <v>95</v>
      </c>
      <c r="B23" s="24" t="s">
        <v>159</v>
      </c>
      <c r="C23" s="14"/>
      <c r="D23" s="14"/>
      <c r="E23" s="14"/>
      <c r="F23" s="14"/>
      <c r="G23" s="14"/>
      <c r="H23" s="14"/>
      <c r="I23" s="14"/>
      <c r="J23" s="14"/>
      <c r="K23" s="14"/>
      <c r="L23" s="14" t="s">
        <v>160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ht="14.25" customHeight="1">
      <c r="A24" s="24" t="s">
        <v>29</v>
      </c>
      <c r="B24" s="24" t="s">
        <v>161</v>
      </c>
      <c r="C24" s="14" t="s">
        <v>31</v>
      </c>
      <c r="D24" s="14" t="s">
        <v>31</v>
      </c>
      <c r="E24" s="25" t="s">
        <v>31</v>
      </c>
      <c r="F24" s="14"/>
      <c r="G24" s="14"/>
      <c r="H24" s="14" t="s">
        <v>73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ht="14.25" customHeight="1">
      <c r="A25" s="24" t="s">
        <v>73</v>
      </c>
      <c r="B25" s="24" t="s">
        <v>162</v>
      </c>
      <c r="C25" s="14" t="s">
        <v>31</v>
      </c>
      <c r="D25" s="14" t="s">
        <v>31</v>
      </c>
      <c r="E25" s="25" t="s">
        <v>31</v>
      </c>
      <c r="F25" s="14"/>
      <c r="G25" s="14"/>
      <c r="H25" s="14"/>
      <c r="I25" s="14" t="s">
        <v>77</v>
      </c>
      <c r="J25" s="14"/>
      <c r="K25" s="14"/>
      <c r="L25" s="14"/>
      <c r="M25" s="14"/>
      <c r="N25" s="14"/>
      <c r="O25" s="14"/>
      <c r="P25" s="14"/>
      <c r="Q25" s="14"/>
      <c r="R25" s="14" t="s">
        <v>163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ht="14.25" customHeight="1">
      <c r="A26" s="24" t="s">
        <v>73</v>
      </c>
      <c r="B26" s="24" t="s">
        <v>164</v>
      </c>
      <c r="C26" s="14" t="s">
        <v>31</v>
      </c>
      <c r="D26" s="14" t="s">
        <v>31</v>
      </c>
      <c r="E26" s="25" t="s">
        <v>31</v>
      </c>
      <c r="F26" s="14"/>
      <c r="G26" s="14"/>
      <c r="H26" s="14"/>
      <c r="I26" s="14" t="s">
        <v>77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ht="14.25" customHeight="1">
      <c r="A27" s="24" t="s">
        <v>73</v>
      </c>
      <c r="B27" s="24" t="s">
        <v>165</v>
      </c>
      <c r="C27" s="14" t="s">
        <v>31</v>
      </c>
      <c r="D27" s="14" t="s">
        <v>31</v>
      </c>
      <c r="E27" s="25" t="s">
        <v>31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ht="14.25" customHeight="1">
      <c r="A28" s="24" t="s">
        <v>95</v>
      </c>
      <c r="B28" s="24" t="s">
        <v>166</v>
      </c>
      <c r="C28" s="14"/>
      <c r="D28" s="14"/>
      <c r="E28" s="14"/>
      <c r="F28" s="14"/>
      <c r="G28" s="14"/>
      <c r="H28" s="14"/>
      <c r="I28" s="14"/>
      <c r="J28" s="14"/>
      <c r="K28" s="14"/>
      <c r="L28" s="14" t="s">
        <v>167</v>
      </c>
      <c r="M28" s="14"/>
      <c r="N28" s="14"/>
      <c r="O28" s="14"/>
      <c r="P28" s="14"/>
      <c r="Q28" s="14"/>
      <c r="R28" s="14" t="s">
        <v>168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ht="14.25" customHeight="1">
      <c r="A29" s="24" t="s">
        <v>95</v>
      </c>
      <c r="B29" s="24" t="s">
        <v>169</v>
      </c>
      <c r="C29" s="14"/>
      <c r="D29" s="14"/>
      <c r="E29" s="14"/>
      <c r="F29" s="14"/>
      <c r="G29" s="14"/>
      <c r="H29" s="14"/>
      <c r="I29" s="14"/>
      <c r="J29" s="14"/>
      <c r="K29" s="14"/>
      <c r="L29" s="14" t="s">
        <v>170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ht="14.25" customHeight="1">
      <c r="A30" s="24" t="s">
        <v>95</v>
      </c>
      <c r="B30" s="24" t="s">
        <v>171</v>
      </c>
      <c r="C30" s="14"/>
      <c r="D30" s="14"/>
      <c r="E30" s="14"/>
      <c r="F30" s="14"/>
      <c r="G30" s="14"/>
      <c r="H30" s="14"/>
      <c r="I30" s="14"/>
      <c r="J30" s="14"/>
      <c r="K30" s="14"/>
      <c r="L30" s="14" t="s">
        <v>172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ht="14.25" customHeight="1">
      <c r="A31" s="24" t="s">
        <v>62</v>
      </c>
      <c r="B31" s="2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ht="14.25" customHeight="1">
      <c r="A32" s="24" t="s">
        <v>62</v>
      </c>
      <c r="B32" s="2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ht="14.25" customHeight="1">
      <c r="A33" s="7"/>
      <c r="B33" s="7"/>
      <c r="C33" s="7"/>
      <c r="D33" s="14"/>
      <c r="E33" s="23"/>
      <c r="F33" s="7"/>
      <c r="G33" s="7"/>
      <c r="H33" s="7"/>
      <c r="I33" s="7"/>
      <c r="J33" s="7"/>
      <c r="K33" s="7"/>
      <c r="L33" s="7"/>
      <c r="M33" s="7"/>
      <c r="N33" s="7"/>
      <c r="O33" s="14"/>
      <c r="P33" s="23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4.25" customHeight="1">
      <c r="A34" s="24" t="s">
        <v>29</v>
      </c>
      <c r="B34" s="24" t="s">
        <v>173</v>
      </c>
      <c r="C34" s="14" t="s">
        <v>31</v>
      </c>
      <c r="D34" s="14" t="s">
        <v>31</v>
      </c>
      <c r="E34" s="25" t="s">
        <v>31</v>
      </c>
      <c r="F34" s="14"/>
      <c r="G34" s="14"/>
      <c r="H34" s="14" t="s">
        <v>174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ht="14.25" customHeight="1">
      <c r="A35" s="24" t="s">
        <v>175</v>
      </c>
      <c r="B35" s="24" t="s">
        <v>113</v>
      </c>
      <c r="C35" s="14" t="s">
        <v>31</v>
      </c>
      <c r="D35" s="14" t="s">
        <v>31</v>
      </c>
      <c r="E35" s="25" t="s">
        <v>31</v>
      </c>
      <c r="F35" s="14"/>
      <c r="G35" s="14"/>
      <c r="H35" s="14" t="s">
        <v>73</v>
      </c>
      <c r="I35" s="14"/>
      <c r="J35" s="14"/>
      <c r="K35" s="14"/>
      <c r="L35" s="27" t="s">
        <v>176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ht="13.5" customHeight="1">
      <c r="A36" s="24" t="s">
        <v>95</v>
      </c>
      <c r="B36" s="24" t="s">
        <v>177</v>
      </c>
      <c r="C36" s="14"/>
      <c r="D36" s="14"/>
      <c r="E36" s="14"/>
      <c r="F36" s="14"/>
      <c r="G36" s="14"/>
      <c r="H36" s="14"/>
      <c r="I36" s="14"/>
      <c r="J36" s="14"/>
      <c r="K36" s="14"/>
      <c r="L36" s="27" t="s">
        <v>178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ht="14.25" customHeight="1">
      <c r="A37" s="24" t="s">
        <v>179</v>
      </c>
      <c r="B37" s="24" t="s">
        <v>180</v>
      </c>
      <c r="C37" s="14" t="s">
        <v>31</v>
      </c>
      <c r="D37" s="14" t="s">
        <v>31</v>
      </c>
      <c r="E37" s="25" t="s">
        <v>31</v>
      </c>
      <c r="F37" s="14"/>
      <c r="G37" s="14"/>
      <c r="H37" s="14" t="s">
        <v>73</v>
      </c>
      <c r="I37" s="14"/>
      <c r="J37" s="14"/>
      <c r="K37" s="14"/>
      <c r="L37" s="27" t="s">
        <v>176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ht="14.25" customHeight="1">
      <c r="A38" s="24" t="s">
        <v>95</v>
      </c>
      <c r="B38" s="24" t="s">
        <v>181</v>
      </c>
      <c r="C38" s="14"/>
      <c r="D38" s="14"/>
      <c r="E38" s="14"/>
      <c r="F38" s="14"/>
      <c r="G38" s="14"/>
      <c r="H38" s="14"/>
      <c r="I38" s="14"/>
      <c r="J38" s="14"/>
      <c r="K38" s="14"/>
      <c r="L38" s="27" t="s">
        <v>182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ht="14.25" customHeight="1">
      <c r="A39" s="24" t="s">
        <v>62</v>
      </c>
      <c r="B39" s="2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9.71"/>
    <col customWidth="1" min="3" max="3" width="26.71"/>
    <col customWidth="1" min="4" max="4" width="17.57"/>
    <col customWidth="1" min="5" max="8" width="7.71"/>
    <col customWidth="1" min="9" max="21" width="15.14"/>
  </cols>
  <sheetData>
    <row r="1" ht="14.25" customHeight="1">
      <c r="A1" s="6" t="s">
        <v>1</v>
      </c>
      <c r="B1" s="6" t="s">
        <v>3</v>
      </c>
      <c r="C1" s="6" t="s">
        <v>26</v>
      </c>
      <c r="D1" s="8" t="s">
        <v>5</v>
      </c>
      <c r="E1" s="9" t="s">
        <v>12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4.25" customHeight="1">
      <c r="A2" s="12" t="s">
        <v>32</v>
      </c>
      <c r="B2" s="12" t="s">
        <v>33</v>
      </c>
      <c r="C2" s="12" t="s">
        <v>34</v>
      </c>
      <c r="D2" s="14" t="s">
        <v>35</v>
      </c>
      <c r="E2" s="9" t="s">
        <v>36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4.25" customHeight="1">
      <c r="A3" s="12" t="s">
        <v>32</v>
      </c>
      <c r="B3" s="12" t="s">
        <v>37</v>
      </c>
      <c r="C3" s="12" t="s">
        <v>38</v>
      </c>
      <c r="D3" s="14" t="s">
        <v>40</v>
      </c>
      <c r="E3" s="9" t="s">
        <v>40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4.25" customHeight="1">
      <c r="A4" s="12" t="s">
        <v>41</v>
      </c>
      <c r="B4" s="16" t="s">
        <v>42</v>
      </c>
      <c r="C4" s="17" t="s">
        <v>47</v>
      </c>
      <c r="D4" s="14" t="s">
        <v>48</v>
      </c>
      <c r="E4" s="9" t="s">
        <v>49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4.25" customHeight="1">
      <c r="A5" s="12" t="s">
        <v>41</v>
      </c>
      <c r="B5" s="16" t="s">
        <v>52</v>
      </c>
      <c r="C5" s="17" t="s">
        <v>53</v>
      </c>
      <c r="D5" s="14" t="s">
        <v>54</v>
      </c>
      <c r="E5" s="9" t="s">
        <v>55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4.25" customHeight="1">
      <c r="A6" s="18" t="s">
        <v>57</v>
      </c>
      <c r="B6" s="19" t="s">
        <v>58</v>
      </c>
      <c r="C6" s="20" t="s">
        <v>59</v>
      </c>
      <c r="D6" s="21" t="s">
        <v>61</v>
      </c>
      <c r="E6" s="22" t="s">
        <v>63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ht="14.25" customHeight="1">
      <c r="A7" s="18" t="s">
        <v>57</v>
      </c>
      <c r="B7" s="19" t="s">
        <v>64</v>
      </c>
      <c r="C7" s="20" t="s">
        <v>65</v>
      </c>
      <c r="D7" s="21" t="s">
        <v>66</v>
      </c>
      <c r="E7" s="22" t="s">
        <v>67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ht="14.25" customHeight="1">
      <c r="A8" s="18" t="s">
        <v>57</v>
      </c>
      <c r="B8" s="19" t="s">
        <v>68</v>
      </c>
      <c r="C8" s="20" t="s">
        <v>69</v>
      </c>
      <c r="D8" s="21" t="str">
        <f>IFERROR(__xludf.DUMMYFUNCTION("GOOGLETRANSLATE(C8, ""en"", ""fr"")"),"Entrepreneur en santé communautaire")</f>
        <v>Entrepreneur en santé communautaire</v>
      </c>
      <c r="E8" s="22" t="s">
        <v>72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ht="14.25" customHeight="1">
      <c r="A9" s="18" t="s">
        <v>57</v>
      </c>
      <c r="B9" s="19" t="s">
        <v>75</v>
      </c>
      <c r="C9" s="20" t="s">
        <v>76</v>
      </c>
      <c r="D9" s="21" t="s">
        <v>78</v>
      </c>
      <c r="E9" s="22" t="s">
        <v>79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ht="14.25" customHeight="1">
      <c r="A10" s="18" t="s">
        <v>57</v>
      </c>
      <c r="B10" s="18" t="s">
        <v>80</v>
      </c>
      <c r="C10" s="18" t="s">
        <v>81</v>
      </c>
      <c r="D10" s="21" t="s">
        <v>81</v>
      </c>
      <c r="E10" s="22" t="s">
        <v>82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ht="14.25" customHeight="1">
      <c r="A11" s="18" t="s">
        <v>57</v>
      </c>
      <c r="B11" s="19" t="s">
        <v>83</v>
      </c>
      <c r="C11" s="20" t="s">
        <v>84</v>
      </c>
      <c r="D11" s="21" t="s">
        <v>85</v>
      </c>
      <c r="E11" s="22" t="s">
        <v>86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ht="14.25" customHeight="1">
      <c r="A12" s="4" t="s">
        <v>87</v>
      </c>
      <c r="B12" s="16" t="s">
        <v>88</v>
      </c>
      <c r="C12" s="17" t="s">
        <v>89</v>
      </c>
      <c r="D12" s="14" t="s">
        <v>90</v>
      </c>
      <c r="E12" s="9" t="s">
        <v>91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4.25" customHeight="1">
      <c r="A13" s="4" t="s">
        <v>87</v>
      </c>
      <c r="B13" s="16" t="s">
        <v>93</v>
      </c>
      <c r="C13" s="17" t="s">
        <v>94</v>
      </c>
      <c r="D13" s="14" t="s">
        <v>97</v>
      </c>
      <c r="E13" s="9" t="s">
        <v>98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4.25" customHeight="1">
      <c r="A14" s="12" t="s">
        <v>101</v>
      </c>
      <c r="B14" s="12" t="s">
        <v>33</v>
      </c>
      <c r="C14" s="12" t="s">
        <v>34</v>
      </c>
      <c r="D14" s="14" t="s">
        <v>35</v>
      </c>
      <c r="E14" s="9" t="s">
        <v>36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4.25" customHeight="1">
      <c r="A15" s="12" t="s">
        <v>101</v>
      </c>
      <c r="B15" s="12" t="s">
        <v>37</v>
      </c>
      <c r="C15" s="12" t="s">
        <v>107</v>
      </c>
      <c r="D15" s="14" t="s">
        <v>109</v>
      </c>
      <c r="E15" s="26" t="s">
        <v>111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4.25" customHeight="1">
      <c r="A16" s="4" t="s">
        <v>113</v>
      </c>
      <c r="B16" s="16" t="s">
        <v>114</v>
      </c>
      <c r="C16" s="20" t="s">
        <v>115</v>
      </c>
      <c r="D16" s="21" t="s">
        <v>116</v>
      </c>
      <c r="E16" s="18" t="s">
        <v>117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4.25" customHeight="1">
      <c r="A17" s="4" t="s">
        <v>113</v>
      </c>
      <c r="B17" s="16" t="s">
        <v>121</v>
      </c>
      <c r="C17" s="20" t="s">
        <v>123</v>
      </c>
      <c r="D17" s="21" t="s">
        <v>124</v>
      </c>
      <c r="E17" s="18" t="s">
        <v>126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4.25" customHeight="1">
      <c r="A18" s="4" t="s">
        <v>113</v>
      </c>
      <c r="B18" s="16" t="s">
        <v>130</v>
      </c>
      <c r="C18" s="20" t="s">
        <v>131</v>
      </c>
      <c r="D18" s="21" t="s">
        <v>133</v>
      </c>
      <c r="E18" s="18" t="s">
        <v>134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4.25" customHeight="1">
      <c r="A19" s="4" t="s">
        <v>136</v>
      </c>
      <c r="B19" s="16" t="s">
        <v>114</v>
      </c>
      <c r="C19" s="20" t="s">
        <v>137</v>
      </c>
      <c r="D19" s="21" t="s">
        <v>138</v>
      </c>
      <c r="E19" s="18" t="s">
        <v>139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ht="14.25" customHeight="1">
      <c r="A20" s="4" t="s">
        <v>136</v>
      </c>
      <c r="B20" s="16" t="s">
        <v>121</v>
      </c>
      <c r="C20" s="20" t="s">
        <v>145</v>
      </c>
      <c r="D20" s="21" t="s">
        <v>146</v>
      </c>
      <c r="E20" s="18" t="s">
        <v>147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t="14.25" customHeight="1">
      <c r="A21" s="4" t="s">
        <v>136</v>
      </c>
      <c r="B21" s="16" t="s">
        <v>130</v>
      </c>
      <c r="C21" s="20" t="s">
        <v>151</v>
      </c>
      <c r="D21" s="21" t="s">
        <v>153</v>
      </c>
      <c r="E21" s="18" t="s">
        <v>154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20.14"/>
    <col customWidth="1" min="4" max="4" width="5.71"/>
    <col customWidth="1" min="5" max="5" width="14.29"/>
    <col customWidth="1" min="6" max="6" width="34.0"/>
    <col customWidth="1" min="7" max="16" width="7.71"/>
    <col customWidth="1" min="17" max="26" width="15.14"/>
  </cols>
  <sheetData>
    <row r="1" ht="14.25" customHeight="1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17</v>
      </c>
      <c r="B2" s="4" t="s">
        <v>18</v>
      </c>
      <c r="C2" s="15" t="str">
        <f>TEXT(NOW(), "yyyy-mm-dd_HH-MM")</f>
        <v>2026-09-24_00-34</v>
      </c>
      <c r="D2" s="4"/>
      <c r="E2" s="4" t="s">
        <v>43</v>
      </c>
      <c r="F2" s="4"/>
      <c r="G2" s="4" t="s">
        <v>45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