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5"/>
    <sheet state="visible" name="choices" sheetId="2" r:id="rId6"/>
    <sheet state="visible" name="settings" sheetId="3" r:id="rId7"/>
  </sheets>
  <definedNames/>
  <calcPr/>
</workbook>
</file>

<file path=xl/sharedStrings.xml><?xml version="1.0" encoding="utf-8"?>
<sst xmlns="http://schemas.openxmlformats.org/spreadsheetml/2006/main" count="441" uniqueCount="235">
  <si>
    <t>list_name</t>
  </si>
  <si>
    <t>type</t>
  </si>
  <si>
    <t>name</t>
  </si>
  <si>
    <t>label::en</t>
  </si>
  <si>
    <t>label::fr</t>
  </si>
  <si>
    <t>label::cr</t>
  </si>
  <si>
    <t>required</t>
  </si>
  <si>
    <t>relevant</t>
  </si>
  <si>
    <t>appearance</t>
  </si>
  <si>
    <t>read_only</t>
  </si>
  <si>
    <t>constraint</t>
  </si>
  <si>
    <t>constraint_message::en</t>
  </si>
  <si>
    <t>yes_no</t>
  </si>
  <si>
    <t>constraint_message::fr</t>
  </si>
  <si>
    <t>true</t>
  </si>
  <si>
    <t>Yes</t>
  </si>
  <si>
    <t>constraint_message::cr</t>
  </si>
  <si>
    <t>Oui</t>
  </si>
  <si>
    <t>calculation</t>
  </si>
  <si>
    <t>choice_filter</t>
  </si>
  <si>
    <t>hint::en</t>
  </si>
  <si>
    <t>hint::fr</t>
  </si>
  <si>
    <t>hint::cr</t>
  </si>
  <si>
    <t>default</t>
  </si>
  <si>
    <t>notes</t>
  </si>
  <si>
    <t>begin group</t>
  </si>
  <si>
    <t>form_title</t>
  </si>
  <si>
    <t>inputs</t>
  </si>
  <si>
    <t>NO_LABEL</t>
  </si>
  <si>
    <t>form_id</t>
  </si>
  <si>
    <t>version</t>
  </si>
  <si>
    <t>false</t>
  </si>
  <si>
    <t>No</t>
  </si>
  <si>
    <t>Non</t>
  </si>
  <si>
    <t>style</t>
  </si>
  <si>
    <t>default_language</t>
  </si>
  <si>
    <t>male_female</t>
  </si>
  <si>
    <t>female</t>
  </si>
  <si>
    <t>Female</t>
  </si>
  <si>
    <t>Femme</t>
  </si>
  <si>
    <t>male</t>
  </si>
  <si>
    <t>Male</t>
  </si>
  <si>
    <t>Homme</t>
  </si>
  <si>
    <t>contact</t>
  </si>
  <si>
    <t>new_person</t>
  </si>
  <si>
    <t>user</t>
  </si>
  <si>
    <t>Create a new person</t>
  </si>
  <si>
    <t>Créer une nouvelle personne</t>
  </si>
  <si>
    <t>old_person</t>
  </si>
  <si>
    <t>string</t>
  </si>
  <si>
    <t>contact_id</t>
  </si>
  <si>
    <t>Select an existing person</t>
  </si>
  <si>
    <t>Selectiionner une personne existant</t>
  </si>
  <si>
    <t>Contact ID of the logged in user</t>
  </si>
  <si>
    <t>New PLACE_NAME</t>
  </si>
  <si>
    <t>none</t>
  </si>
  <si>
    <t>contact:PLACE_TYPE:create</t>
  </si>
  <si>
    <t>Skip this step</t>
  </si>
  <si>
    <t>Sauter cette section</t>
  </si>
  <si>
    <t>facility_id</t>
  </si>
  <si>
    <t>select_dob_method</t>
  </si>
  <si>
    <t>approx</t>
  </si>
  <si>
    <t>Place ID of the logged in user</t>
  </si>
  <si>
    <t>Date of birth unknown</t>
  </si>
  <si>
    <t>Name of the logged in user</t>
  </si>
  <si>
    <t>roles</t>
  </si>
  <si>
    <t>nurse</t>
  </si>
  <si>
    <t>Nurse</t>
  </si>
  <si>
    <t>Infirmier</t>
  </si>
  <si>
    <t>hidden</t>
  </si>
  <si>
    <t>che</t>
  </si>
  <si>
    <t>Community Health Entrepreneur</t>
  </si>
  <si>
    <t>end group</t>
  </si>
  <si>
    <t>patient</t>
  </si>
  <si>
    <t>Patient</t>
  </si>
  <si>
    <t>other</t>
  </si>
  <si>
    <t>Other</t>
  </si>
  <si>
    <t>Autre</t>
  </si>
  <si>
    <t>pages</t>
  </si>
  <si>
    <t>en</t>
  </si>
  <si>
    <t>yes_no_generated_name</t>
  </si>
  <si>
    <t>No, I want to name it manually</t>
  </si>
  <si>
    <t>Non, je veux nommer ça manuellement</t>
  </si>
  <si>
    <t>place_type</t>
  </si>
  <si>
    <t>district_hospital</t>
  </si>
  <si>
    <t>Country Department</t>
  </si>
  <si>
    <t>District</t>
  </si>
  <si>
    <t>init</t>
  </si>
  <si>
    <t>health_center</t>
  </si>
  <si>
    <t>Supervisor Region</t>
  </si>
  <si>
    <t>Centre de santé</t>
  </si>
  <si>
    <t>field-list</t>
  </si>
  <si>
    <t>clinic</t>
  </si>
  <si>
    <t>Nurse Zone</t>
  </si>
  <si>
    <t>Zone</t>
  </si>
  <si>
    <t>generated_name</t>
  </si>
  <si>
    <t>${contact_name}'s Department</t>
  </si>
  <si>
    <t>select_one contact</t>
  </si>
  <si>
    <t>District de ${contact_name}</t>
  </si>
  <si>
    <t>create_new_person</t>
  </si>
  <si>
    <t>Set the Primary Contact</t>
  </si>
  <si>
    <t>Contact primaire</t>
  </si>
  <si>
    <t>${contact_name}'s Region</t>
  </si>
  <si>
    <t>Centre de santé de ${contact_name}</t>
  </si>
  <si>
    <t>yes</t>
  </si>
  <si>
    <t>columns-pack</t>
  </si>
  <si>
    <t>${contact_name}'s Zone</t>
  </si>
  <si>
    <t>Zone de ${contact_name}</t>
  </si>
  <si>
    <t>select_person</t>
  </si>
  <si>
    <t>translate_name_label</t>
  </si>
  <si>
    <t>Select the Primary Contact</t>
  </si>
  <si>
    <t>Choisisser le contact primaire</t>
  </si>
  <si>
    <t>Name</t>
  </si>
  <si>
    <t>Nom</t>
  </si>
  <si>
    <t>selected(${create_new_person},'old_person')</t>
  </si>
  <si>
    <t>select-contact type-person</t>
  </si>
  <si>
    <t>calculate</t>
  </si>
  <si>
    <t>contact_name</t>
  </si>
  <si>
    <t>coalesce(../../contact/name, ../name)</t>
  </si>
  <si>
    <t>select_one translate_name_label</t>
  </si>
  <si>
    <t>custom_place_name_label_translator</t>
  </si>
  <si>
    <t>selected(${create_new_person},'none') or selected(${is_name_generated}, 'false')</t>
  </si>
  <si>
    <t>"name"</t>
  </si>
  <si>
    <t>custom_place_name_label</t>
  </si>
  <si>
    <t>jr:choice-name(${custom_place_name_label_translator},'${custom_place_name_label_translator}')</t>
  </si>
  <si>
    <t>custom_place_name</t>
  </si>
  <si>
    <t>${custom_place_name_label}</t>
  </si>
  <si>
    <t>Standalone question only if no contact is selected, so show label accordingly</t>
  </si>
  <si>
    <t>select_one place_type</t>
  </si>
  <si>
    <t>Enter the name of this place</t>
  </si>
  <si>
    <t>Nom de l'endroit</t>
  </si>
  <si>
    <t>PLACE_TYPE</t>
  </si>
  <si>
    <t>place_type_translation</t>
  </si>
  <si>
    <t>jr:choice-name(${place_type},'${place_type}')</t>
  </si>
  <si>
    <t>select_one generated_name</t>
  </si>
  <si>
    <t>generated_name_translation</t>
  </si>
  <si>
    <t>jr:choice-name(${generated_name},'${generated_name}')</t>
  </si>
  <si>
    <t>New Person</t>
  </si>
  <si>
    <t>Nouvelle personne</t>
  </si>
  <si>
    <t>selected(${create_new_person},'new_person')</t>
  </si>
  <si>
    <t>parent</t>
  </si>
  <si>
    <t>PARENT</t>
  </si>
  <si>
    <t>person</t>
  </si>
  <si>
    <t>Full Name</t>
  </si>
  <si>
    <t xml:space="preserve"> </t>
  </si>
  <si>
    <t>short_name</t>
  </si>
  <si>
    <t>Short name</t>
  </si>
  <si>
    <t>no</t>
  </si>
  <si>
    <t>string-length(.) &lt;= 10</t>
  </si>
  <si>
    <t>Short name can not be more than 10 characters long.</t>
  </si>
  <si>
    <t>Please enter a short name that is preferred by the person.</t>
  </si>
  <si>
    <t>date_of_birth</t>
  </si>
  <si>
    <t>../ephemeral_dob/dob_iso</t>
  </si>
  <si>
    <t>date_of_birth_method</t>
  </si>
  <si>
    <t>../ephemeral_dob/dob_method</t>
  </si>
  <si>
    <t>ephemeral_dob</t>
  </si>
  <si>
    <t>date</t>
  </si>
  <si>
    <t>dob_calendar</t>
  </si>
  <si>
    <t>Age</t>
  </si>
  <si>
    <t>not(selected(../dob_method,'approx'))</t>
  </si>
  <si>
    <t>. &lt;= now()</t>
  </si>
  <si>
    <t>Date must be before today</t>
  </si>
  <si>
    <t>Date of Birth</t>
  </si>
  <si>
    <t>note</t>
  </si>
  <si>
    <t>age_label</t>
  </si>
  <si>
    <t>**Age**</t>
  </si>
  <si>
    <t>selected(../dob_method,'approx')</t>
  </si>
  <si>
    <t>integer</t>
  </si>
  <si>
    <t>age_years</t>
  </si>
  <si>
    <t>Years</t>
  </si>
  <si>
    <t>. &gt;= 0 and . &lt;= 130</t>
  </si>
  <si>
    <t>Age must be between 0 and 130</t>
  </si>
  <si>
    <t>age_months</t>
  </si>
  <si>
    <t>Months</t>
  </si>
  <si>
    <t>. &gt;= 0 and . &lt;= 11</t>
  </si>
  <si>
    <t>Months must between 0 and 11</t>
  </si>
  <si>
    <t>select_multiple select_dob_method</t>
  </si>
  <si>
    <t>dob_method</t>
  </si>
  <si>
    <t>DELETE_THIS_LINE</t>
  </si>
  <si>
    <t>columns</t>
  </si>
  <si>
    <t>dob_approx</t>
  </si>
  <si>
    <t>DOB</t>
  </si>
  <si>
    <t>add-date(today(), 0-${age_years}, 0-${age_months})</t>
  </si>
  <si>
    <t>dob_raw</t>
  </si>
  <si>
    <t>if(not(selected( ../dob_method,'approx')), 
../dob_calendar,
../dob_approx)</t>
  </si>
  <si>
    <t>dob_iso</t>
  </si>
  <si>
    <t>format-date-time(../dob_raw,"%Y-%m-%d")</t>
  </si>
  <si>
    <t>dob_debug</t>
  </si>
  <si>
    <t>DOB Approx: ${dob_approx}
DOB Calendar: ${dob_calendar}
DOB ISO: ${dob_iso}</t>
  </si>
  <si>
    <t>tel</t>
  </si>
  <si>
    <t>phone</t>
  </si>
  <si>
    <t>Phone Number</t>
  </si>
  <si>
    <t>Téléphone</t>
  </si>
  <si>
    <t>Please enter a valid local number, or use the standard international format, which includes a plus sign (+) and country code. For example: +254712345678</t>
  </si>
  <si>
    <t>phone_alternate</t>
  </si>
  <si>
    <t>Alternate Phone Number</t>
  </si>
  <si>
    <t>Téléphone alternatif</t>
  </si>
  <si>
    <t>select_one male_female</t>
  </si>
  <si>
    <t>sex</t>
  </si>
  <si>
    <t>Sex</t>
  </si>
  <si>
    <t>Sexe</t>
  </si>
  <si>
    <t>select_one roles</t>
  </si>
  <si>
    <t>role</t>
  </si>
  <si>
    <t>Role</t>
  </si>
  <si>
    <t>Rôle</t>
  </si>
  <si>
    <t>not(${roles} = 'nurse' and . = 'nurse')</t>
  </si>
  <si>
    <t>User type "nurse" cannot create a nurse.</t>
  </si>
  <si>
    <t>role_other</t>
  </si>
  <si>
    <t>Specify other</t>
  </si>
  <si>
    <t>Specifier</t>
  </si>
  <si>
    <t>selected( ${role},'other')</t>
  </si>
  <si>
    <t>external_id</t>
  </si>
  <si>
    <t>External ID</t>
  </si>
  <si>
    <t>Identifiant externe</t>
  </si>
  <si>
    <t>Notes</t>
  </si>
  <si>
    <t>multiline</t>
  </si>
  <si>
    <t>user_for_contact</t>
  </si>
  <si>
    <t>create</t>
  </si>
  <si>
    <t>${phone} != '' and (selected( ${role},'chw') or selected( ${role},'chw_supervisor'))</t>
  </si>
  <si>
    <t>meta</t>
  </si>
  <si>
    <t>created_by</t>
  </si>
  <si>
    <t>../../../inputs/user/name</t>
  </si>
  <si>
    <t>created_by_person_uuid</t>
  </si>
  <si>
    <t>../../../inputs/user/contact_id</t>
  </si>
  <si>
    <t>created_by_place_uuid</t>
  </si>
  <si>
    <t>../../../inputs/user/facility_id</t>
  </si>
  <si>
    <t>select_one yes_no_generated_name</t>
  </si>
  <si>
    <t>is_name_generated</t>
  </si>
  <si>
    <t>Would you like to name the place after the primary contact: "${generated_name_translation}"?</t>
  </si>
  <si>
    <t>Voulez-vous nommer l'endroit: "${generated_name_translation}"?</t>
  </si>
  <si>
    <t>not(selected(${create_new_person},'none'))</t>
  </si>
  <si>
    <t>if( ( selected(${is_name_generated}, 'true') or selected(${is_name_generated}, 'yes') ), ${generated_name_translation}, ${custom_place_name})</t>
  </si>
  <si>
    <t>if(selected(${create_new_person},'none'), "", coalesce(${select_person},"NEW"))</t>
  </si>
  <si>
    <t>geolocation</t>
  </si>
  <si>
    <t>concat(../../inputs/meta/location/lat, concat(' ', ../../inputs/meta/location/long))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</si>
</sst>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Font="1"/>
    <xf borderId="1" fillId="2" fontId="1" numFmtId="0" xfId="0" applyBorder="1" applyFill="1" applyFont="1"/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center"/>
    </xf>
    <xf borderId="1" fillId="2" fontId="2" numFmtId="0" xfId="0" applyAlignment="1" applyBorder="1" applyFill="1" applyFont="1">
      <alignment readingOrder="0"/>
    </xf>
    <xf borderId="1" fillId="3" fontId="2" numFmtId="0" xfId="0" applyBorder="1" applyFill="1" applyFont="1"/>
    <xf borderId="1" fillId="4" fontId="2" numFmtId="0" xfId="0" applyBorder="1" applyFill="1" applyFont="1"/>
    <xf borderId="1" fillId="4" fontId="2" numFmtId="0" xfId="0" applyAlignment="1" applyBorder="1" applyFill="1" applyFont="1">
      <alignment readingOrder="0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wrapText="1"/>
    </xf>
    <xf borderId="1" fillId="2" fontId="2" numFmtId="0" xfId="0" applyBorder="1" applyFill="1" applyFont="1"/>
    <xf borderId="1" fillId="3" fontId="2" numFmtId="0" xfId="0" applyAlignment="1" applyBorder="1" applyFill="1" applyFont="1">
      <alignment readingOrder="0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wrapText="1"/>
    </xf>
    <xf borderId="0" fillId="0" fontId="2" numFmtId="49" xfId="0" applyFont="1" applyNumberFormat="1"/>
    <xf borderId="0" fillId="2" fontId="2" numFmtId="0" xfId="0" applyFill="1" applyFont="1"/>
    <xf borderId="1" fillId="5" fontId="2" numFmtId="0" xfId="0" applyBorder="1" applyFill="1" applyFont="1"/>
    <xf borderId="1" fillId="6" fontId="2" numFmtId="0" xfId="0" applyAlignment="1" applyBorder="1" applyFill="1" applyFont="1">
      <alignment horizontal="left"/>
    </xf>
    <xf borderId="1" fillId="2" fontId="2" numFmtId="0" xfId="0" applyAlignment="1" applyBorder="1" applyFill="1" applyFont="1">
      <alignment horizontal="left"/>
    </xf>
    <xf borderId="1" fillId="2" fontId="3" numFmtId="0" xfId="0" applyBorder="1" applyFill="1" applyFont="1"/>
    <xf borderId="1" fillId="2" fontId="2" numFmtId="0" xfId="0" applyAlignment="1" applyBorder="1" applyFill="1" applyFont="1">
      <alignment shrinkToFit="0" wrapText="1"/>
    </xf>
    <xf borderId="1" fillId="2" fontId="2" numFmtId="0" xfId="0" applyAlignment="1" applyBorder="1" applyFill="1" applyFont="1">
      <alignment horizontal="center"/>
    </xf>
    <xf borderId="1" fillId="2" fontId="4" numFmtId="0" xfId="0" applyBorder="1" applyFill="1" applyFont="1"/>
    <xf borderId="1" fillId="5" fontId="2" numFmtId="0" xfId="0" applyAlignment="1" applyBorder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34.0"/>
    <col customWidth="1" min="2" max="2" width="22.71"/>
    <col customWidth="1" min="3" max="3" width="47.86"/>
    <col customWidth="1" min="4" max="5" width="16.71"/>
    <col customWidth="1" min="6" max="6" width="8.14"/>
    <col customWidth="1" min="7" max="7" width="51.43"/>
    <col customWidth="1" min="8" max="9" width="10.71"/>
    <col customWidth="1" min="10" max="10" width="25.29"/>
    <col customWidth="1" min="11" max="13" width="46.29"/>
    <col customWidth="1" min="14" max="14" width="68.86"/>
    <col customWidth="1" min="15" max="15" width="9.43"/>
    <col customWidth="1" min="16" max="16" width="33.43"/>
    <col customWidth="1" min="17" max="18" width="7.71"/>
    <col customWidth="1" min="19" max="19" width="8.71"/>
    <col customWidth="1" min="20" max="20" width="35.86"/>
    <col customWidth="1" min="21" max="30" width="7.71"/>
    <col customWidth="1" min="31" max="32" width="15.14"/>
    <col customWidth="1" min="33" max="38" width="17.29"/>
  </cols>
  <sheetData>
    <row r="1" ht="14.25" customHeight="1">
      <c r="A1" s="2" t="s">
        <v>1</v>
      </c>
      <c r="B1" s="2" t="s">
        <v>2</v>
      </c>
      <c r="C1" s="2" t="s">
        <v>3</v>
      </c>
      <c r="D1" s="3" t="s">
        <v>4</v>
      </c>
      <c r="E1" s="5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7" t="s">
        <v>11</v>
      </c>
      <c r="L1" s="7" t="s">
        <v>13</v>
      </c>
      <c r="M1" s="7" t="s">
        <v>16</v>
      </c>
      <c r="N1" s="2" t="s">
        <v>18</v>
      </c>
      <c r="O1" s="2" t="s">
        <v>19</v>
      </c>
      <c r="P1" s="2" t="s">
        <v>20</v>
      </c>
      <c r="Q1" s="3" t="s">
        <v>21</v>
      </c>
      <c r="R1" s="5" t="s">
        <v>22</v>
      </c>
      <c r="S1" s="2" t="s">
        <v>23</v>
      </c>
      <c r="T1" s="2" t="s">
        <v>24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ht="14.25" customHeight="1">
      <c r="A2" s="10" t="s">
        <v>25</v>
      </c>
      <c r="B2" s="10" t="s">
        <v>27</v>
      </c>
      <c r="C2" s="11" t="s">
        <v>28</v>
      </c>
      <c r="D2" s="12" t="s">
        <v>28</v>
      </c>
      <c r="E2" s="12" t="s">
        <v>28</v>
      </c>
      <c r="F2" s="11"/>
      <c r="G2" s="11" t="b">
        <f>FALSE()</f>
        <v>0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 ht="14.25" customHeight="1">
      <c r="A3" s="10" t="s">
        <v>25</v>
      </c>
      <c r="B3" s="10" t="s">
        <v>45</v>
      </c>
      <c r="C3" s="11" t="s">
        <v>28</v>
      </c>
      <c r="D3" s="12" t="s">
        <v>28</v>
      </c>
      <c r="E3" s="12" t="s">
        <v>28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 ht="14.25" customHeight="1">
      <c r="A4" s="10" t="s">
        <v>49</v>
      </c>
      <c r="B4" s="10" t="s">
        <v>50</v>
      </c>
      <c r="C4" s="11" t="s">
        <v>28</v>
      </c>
      <c r="D4" s="12" t="s">
        <v>28</v>
      </c>
      <c r="E4" s="12" t="s">
        <v>28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 t="s">
        <v>53</v>
      </c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ht="14.25" customHeight="1">
      <c r="A5" s="10" t="s">
        <v>49</v>
      </c>
      <c r="B5" s="10" t="s">
        <v>59</v>
      </c>
      <c r="C5" s="11" t="s">
        <v>28</v>
      </c>
      <c r="D5" s="12" t="s">
        <v>28</v>
      </c>
      <c r="E5" s="12" t="s">
        <v>28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 t="s">
        <v>62</v>
      </c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ht="14.25" customHeight="1">
      <c r="A6" s="10" t="s">
        <v>49</v>
      </c>
      <c r="B6" s="10" t="s">
        <v>2</v>
      </c>
      <c r="C6" s="11" t="s">
        <v>28</v>
      </c>
      <c r="D6" s="12" t="s">
        <v>28</v>
      </c>
      <c r="E6" s="12" t="s">
        <v>28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 t="s">
        <v>64</v>
      </c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ht="14.25" customHeight="1">
      <c r="A7" s="16" t="s">
        <v>69</v>
      </c>
      <c r="B7" s="16" t="s">
        <v>65</v>
      </c>
      <c r="C7" s="11" t="s">
        <v>28</v>
      </c>
      <c r="D7" s="12" t="s">
        <v>28</v>
      </c>
      <c r="E7" s="12" t="s">
        <v>28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ht="14.25" customHeight="1">
      <c r="A8" s="10" t="s">
        <v>72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ht="14.25" customHeight="1">
      <c r="A9" s="10" t="s">
        <v>72</v>
      </c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ht="14.25" customHeight="1">
      <c r="A10" s="6"/>
      <c r="B10" s="6"/>
      <c r="C10" s="6"/>
      <c r="D10" s="15"/>
      <c r="E10" s="20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15"/>
      <c r="R10" s="20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ht="14.25" customHeight="1">
      <c r="A11" s="21" t="s">
        <v>25</v>
      </c>
      <c r="B11" s="21" t="s">
        <v>87</v>
      </c>
      <c r="C11" s="15" t="s">
        <v>28</v>
      </c>
      <c r="D11" s="9" t="s">
        <v>28</v>
      </c>
      <c r="E11" s="9" t="s">
        <v>28</v>
      </c>
      <c r="F11" s="15"/>
      <c r="G11" s="15"/>
      <c r="H11" s="15" t="s">
        <v>91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</row>
    <row r="12" ht="13.5" customHeight="1">
      <c r="A12" s="21" t="s">
        <v>97</v>
      </c>
      <c r="B12" s="21" t="s">
        <v>99</v>
      </c>
      <c r="C12" s="15" t="s">
        <v>100</v>
      </c>
      <c r="D12" s="9" t="s">
        <v>101</v>
      </c>
      <c r="E12" s="15" t="str">
        <f>IFERROR(__xludf.DUMMYFUNCTION("GOOGLETRANSLATE(C12, ""en"", ""ht"")"),"Mete Kontak Prensipal la")</f>
        <v>Mete Kontak Prensipal la</v>
      </c>
      <c r="F12" s="15" t="s">
        <v>104</v>
      </c>
      <c r="G12" s="15"/>
      <c r="H12" s="15" t="s">
        <v>105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</row>
    <row r="13" ht="13.5" customHeight="1">
      <c r="A13" s="21" t="s">
        <v>49</v>
      </c>
      <c r="B13" s="21" t="s">
        <v>108</v>
      </c>
      <c r="C13" s="15" t="s">
        <v>110</v>
      </c>
      <c r="D13" s="9" t="s">
        <v>111</v>
      </c>
      <c r="E13" s="15" t="str">
        <f>IFERROR(__xludf.DUMMYFUNCTION("GOOGLETRANSLATE(C13, ""en"", ""ht"")"),"Chwazi Kontak Prensipal la")</f>
        <v>Chwazi Kontak Prensipal la</v>
      </c>
      <c r="F13" s="15" t="s">
        <v>104</v>
      </c>
      <c r="G13" s="15" t="s">
        <v>114</v>
      </c>
      <c r="H13" s="15" t="s">
        <v>115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</row>
    <row r="14" ht="14.25" customHeight="1">
      <c r="A14" s="21" t="s">
        <v>49</v>
      </c>
      <c r="B14" s="21" t="s">
        <v>2</v>
      </c>
      <c r="C14" s="15" t="s">
        <v>28</v>
      </c>
      <c r="D14" s="9" t="s">
        <v>28</v>
      </c>
      <c r="E14" s="9" t="s">
        <v>28</v>
      </c>
      <c r="F14" s="15"/>
      <c r="G14" s="15"/>
      <c r="H14" s="15" t="s">
        <v>69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</row>
    <row r="15" ht="14.25" customHeight="1">
      <c r="A15" s="21" t="s">
        <v>116</v>
      </c>
      <c r="B15" s="21" t="s">
        <v>117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23" t="s">
        <v>118</v>
      </c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</row>
    <row r="16" ht="14.25" customHeight="1">
      <c r="A16" s="21" t="s">
        <v>119</v>
      </c>
      <c r="B16" s="21" t="s">
        <v>120</v>
      </c>
      <c r="C16" s="15" t="s">
        <v>28</v>
      </c>
      <c r="D16" s="9" t="s">
        <v>28</v>
      </c>
      <c r="E16" s="9" t="s">
        <v>28</v>
      </c>
      <c r="F16" s="15"/>
      <c r="G16" s="15" t="s">
        <v>121</v>
      </c>
      <c r="H16" s="15" t="s">
        <v>69</v>
      </c>
      <c r="I16" s="15"/>
      <c r="J16" s="15"/>
      <c r="K16" s="15"/>
      <c r="L16" s="15"/>
      <c r="M16" s="15"/>
      <c r="N16" s="15" t="s">
        <v>122</v>
      </c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</row>
    <row r="17" ht="14.25" customHeight="1">
      <c r="A17" s="21" t="s">
        <v>116</v>
      </c>
      <c r="B17" s="21" t="s">
        <v>123</v>
      </c>
      <c r="C17" s="15"/>
      <c r="D17" s="15"/>
      <c r="E17" s="15"/>
      <c r="F17" s="15"/>
      <c r="G17" s="15"/>
      <c r="H17" s="15"/>
      <c r="I17" s="15"/>
      <c r="J17" s="15"/>
      <c r="K17" s="23"/>
      <c r="L17" s="23"/>
      <c r="M17" s="23"/>
      <c r="N17" s="23" t="s">
        <v>124</v>
      </c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</row>
    <row r="18" ht="14.25" customHeight="1">
      <c r="A18" s="21" t="s">
        <v>49</v>
      </c>
      <c r="B18" s="21" t="s">
        <v>125</v>
      </c>
      <c r="C18" s="15" t="s">
        <v>126</v>
      </c>
      <c r="D18" s="9" t="s">
        <v>126</v>
      </c>
      <c r="E18" s="9" t="s">
        <v>126</v>
      </c>
      <c r="F18" s="15" t="s">
        <v>104</v>
      </c>
      <c r="G18" s="15" t="s">
        <v>121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 t="s">
        <v>127</v>
      </c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</row>
    <row r="19" ht="14.25" customHeight="1">
      <c r="A19" s="21" t="s">
        <v>128</v>
      </c>
      <c r="B19" s="21" t="s">
        <v>83</v>
      </c>
      <c r="C19" s="15" t="s">
        <v>129</v>
      </c>
      <c r="D19" s="9" t="s">
        <v>130</v>
      </c>
      <c r="E19" s="15" t="str">
        <f>IFERROR(__xludf.DUMMYFUNCTION("GOOGLETRANSLATE(C19, ""en"", ""ht"")"),"Antre non kote sa a")</f>
        <v>Antre non kote sa a</v>
      </c>
      <c r="F19" s="15"/>
      <c r="G19" s="15"/>
      <c r="H19" s="15" t="s">
        <v>69</v>
      </c>
      <c r="I19" s="15"/>
      <c r="J19" s="15"/>
      <c r="K19" s="15"/>
      <c r="L19" s="15"/>
      <c r="M19" s="15"/>
      <c r="N19" s="23"/>
      <c r="O19" s="15"/>
      <c r="P19" s="15"/>
      <c r="Q19" s="15"/>
      <c r="R19" s="15"/>
      <c r="S19" s="23" t="s">
        <v>131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</row>
    <row r="20" ht="14.25" customHeight="1">
      <c r="A20" s="21" t="s">
        <v>116</v>
      </c>
      <c r="B20" s="21" t="s">
        <v>132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23" t="s">
        <v>133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</row>
    <row r="21" ht="14.25" customHeight="1">
      <c r="A21" s="21" t="s">
        <v>134</v>
      </c>
      <c r="B21" s="21" t="s">
        <v>95</v>
      </c>
      <c r="C21" s="15" t="s">
        <v>28</v>
      </c>
      <c r="D21" s="9" t="s">
        <v>28</v>
      </c>
      <c r="E21" s="9" t="s">
        <v>28</v>
      </c>
      <c r="F21" s="15"/>
      <c r="G21" s="15"/>
      <c r="H21" s="15" t="s">
        <v>69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23" t="s">
        <v>131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</row>
    <row r="22" ht="14.25" customHeight="1">
      <c r="A22" s="21" t="s">
        <v>116</v>
      </c>
      <c r="B22" s="21" t="s">
        <v>135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23" t="s">
        <v>136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</row>
    <row r="23" ht="14.25" customHeight="1">
      <c r="A23" s="21" t="s">
        <v>72</v>
      </c>
      <c r="B23" s="21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</row>
    <row r="24" ht="14.25" customHeight="1">
      <c r="A24" s="6"/>
      <c r="B24" s="6"/>
      <c r="C24" s="6"/>
      <c r="D24" s="15"/>
      <c r="E24" s="20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15"/>
      <c r="R24" s="20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ht="14.25" customHeight="1">
      <c r="A25" s="21" t="s">
        <v>25</v>
      </c>
      <c r="B25" s="21" t="s">
        <v>43</v>
      </c>
      <c r="C25" s="15" t="s">
        <v>137</v>
      </c>
      <c r="D25" s="9" t="s">
        <v>138</v>
      </c>
      <c r="E25" s="15" t="str">
        <f>IFERROR(__xludf.DUMMYFUNCTION("GOOGLETRANSLATE(C25, ""en"", ""ht"")"),"Nouvo Moun")</f>
        <v>Nouvo Moun</v>
      </c>
      <c r="F25" s="15"/>
      <c r="G25" s="15" t="s">
        <v>139</v>
      </c>
      <c r="H25" s="15" t="s">
        <v>91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</row>
    <row r="26" ht="14.25" customHeight="1">
      <c r="A26" s="21" t="s">
        <v>69</v>
      </c>
      <c r="B26" s="21" t="s">
        <v>140</v>
      </c>
      <c r="C26" s="15" t="s">
        <v>28</v>
      </c>
      <c r="D26" s="9" t="s">
        <v>28</v>
      </c>
      <c r="E26" s="9" t="s">
        <v>28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 t="s">
        <v>141</v>
      </c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</row>
    <row r="27" ht="14.25" customHeight="1">
      <c r="A27" s="21" t="s">
        <v>69</v>
      </c>
      <c r="B27" s="21" t="s">
        <v>1</v>
      </c>
      <c r="C27" s="15" t="s">
        <v>28</v>
      </c>
      <c r="D27" s="9" t="s">
        <v>28</v>
      </c>
      <c r="E27" s="9" t="s">
        <v>28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 t="s">
        <v>142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</row>
    <row r="28" ht="14.25" customHeight="1">
      <c r="A28" s="21" t="s">
        <v>49</v>
      </c>
      <c r="B28" s="21" t="s">
        <v>2</v>
      </c>
      <c r="C28" s="15" t="s">
        <v>143</v>
      </c>
      <c r="D28" s="9" t="s">
        <v>113</v>
      </c>
      <c r="E28" s="15" t="str">
        <f>IFERROR(__xludf.DUMMYFUNCTION("GOOGLETRANSLATE(C28, ""en"", ""ht"")"),"Non konplè")</f>
        <v>Non konplè</v>
      </c>
      <c r="F28" s="15" t="s">
        <v>104</v>
      </c>
      <c r="G28" s="15"/>
      <c r="H28" s="15"/>
      <c r="I28" s="15"/>
      <c r="J28" s="15" t="s">
        <v>144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</row>
    <row r="29" ht="14.25" customHeight="1">
      <c r="A29" s="21" t="s">
        <v>49</v>
      </c>
      <c r="B29" s="21" t="s">
        <v>145</v>
      </c>
      <c r="C29" s="15" t="s">
        <v>146</v>
      </c>
      <c r="D29" s="15" t="str">
        <f>IFERROR(__xludf.DUMMYFUNCTION("GOOGLETRANSLATE(C29, ""en"", ""fr"")"),"Nom court")</f>
        <v>Nom court</v>
      </c>
      <c r="E29" s="15" t="str">
        <f>IFERROR(__xludf.DUMMYFUNCTION("GOOGLETRANSLATE(C29, ""en"", ""ht"")"),"Non kout")</f>
        <v>Non kout</v>
      </c>
      <c r="F29" s="15" t="s">
        <v>147</v>
      </c>
      <c r="G29" s="15"/>
      <c r="H29" s="15"/>
      <c r="I29" s="15"/>
      <c r="J29" s="15" t="s">
        <v>148</v>
      </c>
      <c r="K29" s="15" t="s">
        <v>149</v>
      </c>
      <c r="L29" s="15" t="str">
        <f>IFERROR(__xludf.DUMMYFUNCTION("GOOGLETRANSLATE(K29, ""en"", ""fr"")"),"Le nom court ne peut pas dépasser 10 caractères.")</f>
        <v>Le nom court ne peut pas dépasser 10 caractères.</v>
      </c>
      <c r="M29" s="15" t="str">
        <f>IFERROR(__xludf.DUMMYFUNCTION("GOOGLETRANSLATE(K29, ""en"", ""ht"")"),"Non kout la pa ka gen plis pase 10 karaktè.")</f>
        <v>Non kout la pa ka gen plis pase 10 karaktè.</v>
      </c>
      <c r="N29" s="15"/>
      <c r="O29" s="15"/>
      <c r="P29" s="24" t="s">
        <v>150</v>
      </c>
      <c r="Q29" s="15" t="str">
        <f>IFERROR(__xludf.DUMMYFUNCTION("GOOGLETRANSLATE(P29, ""en"", ""fr"")"),"Veuillez saisir un prénom court que la personne préfère.")</f>
        <v>Veuillez saisir un prénom court que la personne préfère.</v>
      </c>
      <c r="R29" s="15" t="str">
        <f>IFERROR(__xludf.DUMMYFUNCTION("GOOGLETRANSLATE(P29, ""en"", ""ht"")"),"Tanpri antre yon non kout ke moun nan prefere.")</f>
        <v>Tanpri antre yon non kout ke moun nan prefere.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</row>
    <row r="30" ht="14.25" customHeight="1">
      <c r="A30" s="21" t="s">
        <v>116</v>
      </c>
      <c r="B30" s="21" t="s">
        <v>151</v>
      </c>
      <c r="C30" s="15"/>
      <c r="D30" s="15"/>
      <c r="E30" s="15"/>
      <c r="F30" s="15" t="s">
        <v>104</v>
      </c>
      <c r="G30" s="15"/>
      <c r="H30" s="15"/>
      <c r="I30" s="15"/>
      <c r="J30" s="15"/>
      <c r="K30" s="15"/>
      <c r="L30" s="15"/>
      <c r="M30" s="15"/>
      <c r="N30" s="15" t="s">
        <v>152</v>
      </c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</row>
    <row r="31" ht="14.25" customHeight="1">
      <c r="A31" s="21" t="s">
        <v>116</v>
      </c>
      <c r="B31" s="21" t="s">
        <v>153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 t="s">
        <v>154</v>
      </c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</row>
    <row r="32" ht="14.25" customHeight="1">
      <c r="A32" s="21" t="s">
        <v>25</v>
      </c>
      <c r="B32" s="21" t="s">
        <v>155</v>
      </c>
      <c r="C32" s="15" t="s">
        <v>28</v>
      </c>
      <c r="D32" s="9" t="s">
        <v>28</v>
      </c>
      <c r="E32" s="9" t="s">
        <v>28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</row>
    <row r="33" ht="14.25" customHeight="1">
      <c r="A33" s="21" t="s">
        <v>156</v>
      </c>
      <c r="B33" s="21" t="s">
        <v>157</v>
      </c>
      <c r="C33" s="15" t="s">
        <v>158</v>
      </c>
      <c r="D33" s="15" t="str">
        <f>IFERROR(__xludf.DUMMYFUNCTION("GOOGLETRANSLATE(C33, ""en"", ""fr"")"),"Âge")</f>
        <v>Âge</v>
      </c>
      <c r="E33" s="15" t="str">
        <f>IFERROR(__xludf.DUMMYFUNCTION("GOOGLETRANSLATE(C33, ""en"", ""ht"")"),"Laj")</f>
        <v>Laj</v>
      </c>
      <c r="F33" s="15" t="s">
        <v>104</v>
      </c>
      <c r="G33" s="15" t="s">
        <v>159</v>
      </c>
      <c r="H33" s="15"/>
      <c r="I33" s="15"/>
      <c r="J33" s="15" t="s">
        <v>160</v>
      </c>
      <c r="K33" s="15" t="s">
        <v>161</v>
      </c>
      <c r="L33" s="15" t="str">
        <f>IFERROR(__xludf.DUMMYFUNCTION("GOOGLETRANSLATE(K33, ""en"", ""fr"")"),"La date doit être antérieure à aujourd'hui.")</f>
        <v>La date doit être antérieure à aujourd'hui.</v>
      </c>
      <c r="M33" s="15" t="str">
        <f>IFERROR(__xludf.DUMMYFUNCTION("GOOGLETRANSLATE(K33, ""en"", ""ht"")"),"Dat la dwe anvan jodi a")</f>
        <v>Dat la dwe anvan jodi a</v>
      </c>
      <c r="N33" s="15"/>
      <c r="O33" s="15"/>
      <c r="P33" s="15" t="s">
        <v>162</v>
      </c>
      <c r="Q33" s="15" t="str">
        <f>IFERROR(__xludf.DUMMYFUNCTION("GOOGLETRANSLATE(P33, ""en"", ""fr"")"),"Date de naissance")</f>
        <v>Date de naissance</v>
      </c>
      <c r="R33" s="15" t="str">
        <f>IFERROR(__xludf.DUMMYFUNCTION("GOOGLETRANSLATE(P33, ""en"", ""ht"")"),"Dat Nesans")</f>
        <v>Dat Nesans</v>
      </c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</row>
    <row r="34" ht="14.25" customHeight="1">
      <c r="A34" s="21" t="s">
        <v>163</v>
      </c>
      <c r="B34" s="21" t="s">
        <v>164</v>
      </c>
      <c r="C34" s="15" t="s">
        <v>165</v>
      </c>
      <c r="D34" s="15" t="str">
        <f>IFERROR(__xludf.DUMMYFUNCTION("GOOGLETRANSLATE(C34, ""en"", ""fr"")"),"**Âge**")</f>
        <v>**Âge**</v>
      </c>
      <c r="E34" s="15" t="str">
        <f>IFERROR(__xludf.DUMMYFUNCTION("GOOGLETRANSLATE(C34, ""en"", ""ht"")"),"**Laj**")</f>
        <v>**Laj**</v>
      </c>
      <c r="F34" s="15"/>
      <c r="G34" s="15" t="s">
        <v>166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</row>
    <row r="35" ht="14.25" customHeight="1">
      <c r="A35" s="21" t="s">
        <v>167</v>
      </c>
      <c r="B35" s="21" t="s">
        <v>168</v>
      </c>
      <c r="C35" s="15" t="s">
        <v>169</v>
      </c>
      <c r="D35" s="15" t="str">
        <f>IFERROR(__xludf.DUMMYFUNCTION("GOOGLETRANSLATE(C35, ""en"", ""fr"")"),"Années")</f>
        <v>Années</v>
      </c>
      <c r="E35" s="15" t="str">
        <f>IFERROR(__xludf.DUMMYFUNCTION("GOOGLETRANSLATE(C35, ""en"", ""ht"")"),"Ane")</f>
        <v>Ane</v>
      </c>
      <c r="F35" s="15" t="s">
        <v>104</v>
      </c>
      <c r="G35" s="15" t="s">
        <v>166</v>
      </c>
      <c r="H35" s="15"/>
      <c r="I35" s="15"/>
      <c r="J35" s="15" t="s">
        <v>170</v>
      </c>
      <c r="K35" s="15" t="s">
        <v>171</v>
      </c>
      <c r="L35" s="15" t="str">
        <f>IFERROR(__xludf.DUMMYFUNCTION("GOOGLETRANSLATE(K35, ""en"", ""fr"")"),"L'âge doit être compris entre 0 et 130 ans.")</f>
        <v>L'âge doit être compris entre 0 et 130 ans.</v>
      </c>
      <c r="M35" s="15" t="str">
        <f>IFERROR(__xludf.DUMMYFUNCTION("GOOGLETRANSLATE(K35, ""en"", ""ht"")"),"Laj la dwe ant 0 ak 130")</f>
        <v>Laj la dwe ant 0 ak 130</v>
      </c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</row>
    <row r="36" ht="14.25" customHeight="1">
      <c r="A36" s="21" t="s">
        <v>167</v>
      </c>
      <c r="B36" s="21" t="s">
        <v>172</v>
      </c>
      <c r="C36" s="15" t="s">
        <v>173</v>
      </c>
      <c r="D36" s="15" t="str">
        <f>IFERROR(__xludf.DUMMYFUNCTION("GOOGLETRANSLATE(C36, ""en"", ""fr"")"),"Mois")</f>
        <v>Mois</v>
      </c>
      <c r="E36" s="15" t="str">
        <f>IFERROR(__xludf.DUMMYFUNCTION("GOOGLETRANSLATE(C36, ""en"", ""ht"")"),"Mwa")</f>
        <v>Mwa</v>
      </c>
      <c r="F36" s="15"/>
      <c r="G36" s="15" t="s">
        <v>166</v>
      </c>
      <c r="H36" s="15"/>
      <c r="I36" s="15"/>
      <c r="J36" s="15" t="s">
        <v>174</v>
      </c>
      <c r="K36" s="15" t="s">
        <v>175</v>
      </c>
      <c r="L36" s="15" t="str">
        <f>IFERROR(__xludf.DUMMYFUNCTION("GOOGLETRANSLATE(K36, ""en"", ""fr"")"),"Les mois doivent être compris entre 0 et 11")</f>
        <v>Les mois doivent être compris entre 0 et 11</v>
      </c>
      <c r="M36" s="15" t="str">
        <f>IFERROR(__xludf.DUMMYFUNCTION("GOOGLETRANSLATE(K36, ""en"", ""ht"")"),"Mwa yo dwe ant 0 ak 11")</f>
        <v>Mwa yo dwe ant 0 ak 11</v>
      </c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</row>
    <row r="37" ht="14.25" customHeight="1">
      <c r="A37" s="21" t="s">
        <v>176</v>
      </c>
      <c r="B37" s="21" t="s">
        <v>177</v>
      </c>
      <c r="C37" s="15" t="s">
        <v>178</v>
      </c>
      <c r="D37" s="9" t="s">
        <v>178</v>
      </c>
      <c r="E37" s="9" t="s">
        <v>178</v>
      </c>
      <c r="F37" s="15"/>
      <c r="G37" s="15"/>
      <c r="H37" s="15" t="s">
        <v>179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</row>
    <row r="38" ht="14.25" customHeight="1">
      <c r="A38" s="21" t="s">
        <v>116</v>
      </c>
      <c r="B38" s="21" t="s">
        <v>180</v>
      </c>
      <c r="C38" s="15" t="s">
        <v>181</v>
      </c>
      <c r="D38" s="15" t="str">
        <f>IFERROR(__xludf.DUMMYFUNCTION("GOOGLETRANSLATE(C38, ""en"", ""fr"")"),"Date de naissance")</f>
        <v>Date de naissance</v>
      </c>
      <c r="E38" s="15" t="str">
        <f>IFERROR(__xludf.DUMMYFUNCTION("GOOGLETRANSLATE(C38, ""en"", ""ht"")"),"Dat nesans")</f>
        <v>Dat nesans</v>
      </c>
      <c r="F38" s="15"/>
      <c r="G38" s="15"/>
      <c r="H38" s="15"/>
      <c r="I38" s="15"/>
      <c r="J38" s="15"/>
      <c r="K38" s="15"/>
      <c r="L38" s="15"/>
      <c r="M38" s="15"/>
      <c r="N38" s="15" t="s">
        <v>182</v>
      </c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</row>
    <row r="39" ht="14.25" customHeight="1">
      <c r="A39" s="21" t="s">
        <v>116</v>
      </c>
      <c r="B39" s="21" t="s">
        <v>183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25" t="s">
        <v>184</v>
      </c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</row>
    <row r="40" ht="14.25" customHeight="1">
      <c r="A40" s="21" t="s">
        <v>116</v>
      </c>
      <c r="B40" s="21" t="s">
        <v>185</v>
      </c>
      <c r="C40" s="15" t="s">
        <v>162</v>
      </c>
      <c r="D40" s="15" t="str">
        <f>IFERROR(__xludf.DUMMYFUNCTION("GOOGLETRANSLATE(C40, ""en"", ""fr"")"),"Date de naissance")</f>
        <v>Date de naissance</v>
      </c>
      <c r="E40" s="15" t="str">
        <f>IFERROR(__xludf.DUMMYFUNCTION("GOOGLETRANSLATE(C40, ""en"", ""ht"")"),"Dat Nesans")</f>
        <v>Dat Nesans</v>
      </c>
      <c r="F40" s="15"/>
      <c r="G40" s="15"/>
      <c r="H40" s="15"/>
      <c r="I40" s="15"/>
      <c r="J40" s="15"/>
      <c r="K40" s="15"/>
      <c r="L40" s="15"/>
      <c r="M40" s="15"/>
      <c r="N40" s="15" t="s">
        <v>186</v>
      </c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</row>
    <row r="41" ht="14.25" customHeight="1">
      <c r="A41" s="21" t="s">
        <v>163</v>
      </c>
      <c r="B41" s="21" t="s">
        <v>187</v>
      </c>
      <c r="C41" s="25" t="s">
        <v>188</v>
      </c>
      <c r="D41" s="9" t="s">
        <v>188</v>
      </c>
      <c r="E41" s="9" t="s">
        <v>188</v>
      </c>
      <c r="F41" s="15"/>
      <c r="G41" s="15" t="b">
        <f>FALSE()</f>
        <v>0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</row>
    <row r="42" ht="14.25" customHeight="1">
      <c r="A42" s="21" t="s">
        <v>72</v>
      </c>
      <c r="B42" s="21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</row>
    <row r="43" ht="14.25" customHeight="1">
      <c r="A43" s="21" t="s">
        <v>189</v>
      </c>
      <c r="B43" s="21" t="s">
        <v>190</v>
      </c>
      <c r="C43" s="15" t="s">
        <v>191</v>
      </c>
      <c r="D43" s="9" t="s">
        <v>192</v>
      </c>
      <c r="E43" s="15" t="str">
        <f>IFERROR(__xludf.DUMMYFUNCTION("GOOGLETRANSLATE(C43, ""en"", ""ht"")"),"Nimewo Telefòn")</f>
        <v>Nimewo Telefòn</v>
      </c>
      <c r="F43" s="15"/>
      <c r="G43" s="15" t="s">
        <v>139</v>
      </c>
      <c r="H43" s="15"/>
      <c r="I43" s="15"/>
      <c r="J43" s="26" t="b">
        <f t="shared" ref="J43:J44" si="1">TRUE()</f>
        <v>1</v>
      </c>
      <c r="K43" s="15" t="s">
        <v>193</v>
      </c>
      <c r="L43" s="15" t="str">
        <f>IFERROR(__xludf.DUMMYFUNCTION("GOOGLETRANSLATE(K43, ""en"", ""fr"")"),"Veuillez saisir un numéro local valide ou utiliser le format international standard, qui comprend un signe plus (+) et l'indicatif du pays. Par exemple : +254712345678")</f>
        <v>Veuillez saisir un numéro local valide ou utiliser le format international standard, qui comprend un signe plus (+) et l'indicatif du pays. Par exemple : +254712345678</v>
      </c>
      <c r="M43" s="15" t="str">
        <f>IFERROR(__xludf.DUMMYFUNCTION("GOOGLETRANSLATE(K43, ""en"", ""ht"")"),"Tanpri antre yon nimewo lokal ki valab, oubyen itilize fòma entènasyonal estanda a, ki gen ladan yon siy plis (+) ak kòd peyi a. Pa egzanp: +254712345678")</f>
        <v>Tanpri antre yon nimewo lokal ki valab, oubyen itilize fòma entènasyonal estanda a, ki gen ladan yon siy plis (+) ak kòd peyi a. Pa egzanp: +254712345678</v>
      </c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</row>
    <row r="44" ht="14.25" customHeight="1">
      <c r="A44" s="21" t="s">
        <v>189</v>
      </c>
      <c r="B44" s="21" t="s">
        <v>194</v>
      </c>
      <c r="C44" s="15" t="s">
        <v>195</v>
      </c>
      <c r="D44" s="9" t="s">
        <v>196</v>
      </c>
      <c r="E44" s="15" t="str">
        <f>IFERROR(__xludf.DUMMYFUNCTION("GOOGLETRANSLATE(C44, ""en"", ""ht"")"),"Nimewo Telefòn Altènatif")</f>
        <v>Nimewo Telefòn Altènatif</v>
      </c>
      <c r="F44" s="15"/>
      <c r="G44" s="15" t="s">
        <v>139</v>
      </c>
      <c r="H44" s="15"/>
      <c r="I44" s="15"/>
      <c r="J44" s="26" t="b">
        <f t="shared" si="1"/>
        <v>1</v>
      </c>
      <c r="K44" s="15" t="s">
        <v>193</v>
      </c>
      <c r="L44" s="15" t="str">
        <f>IFERROR(__xludf.DUMMYFUNCTION("GOOGLETRANSLATE(K44, ""en"", ""fr"")"),"Veuillez saisir un numéro local valide ou utiliser le format international standard, qui comprend un signe plus (+) et l'indicatif du pays. Par exemple : +254712345678")</f>
        <v>Veuillez saisir un numéro local valide ou utiliser le format international standard, qui comprend un signe plus (+) et l'indicatif du pays. Par exemple : +254712345678</v>
      </c>
      <c r="M44" s="15" t="str">
        <f>IFERROR(__xludf.DUMMYFUNCTION("GOOGLETRANSLATE(K44, ""en"", ""ht"")"),"Tanpri antre yon nimewo lokal ki valab, oubyen itilize fòma entènasyonal estanda a, ki gen ladan yon siy plis (+) ak kòd peyi a. Pa egzanp: +254712345678")</f>
        <v>Tanpri antre yon nimewo lokal ki valab, oubyen itilize fòma entènasyonal estanda a, ki gen ladan yon siy plis (+) ak kòd peyi a. Pa egzanp: +254712345678</v>
      </c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</row>
    <row r="45" ht="14.25" customHeight="1">
      <c r="A45" s="21" t="s">
        <v>197</v>
      </c>
      <c r="B45" s="21" t="s">
        <v>198</v>
      </c>
      <c r="C45" s="15" t="s">
        <v>199</v>
      </c>
      <c r="D45" s="9" t="s">
        <v>200</v>
      </c>
      <c r="E45" s="15" t="str">
        <f>IFERROR(__xludf.DUMMYFUNCTION("GOOGLETRANSLATE(C45, ""en"", ""ht"")"),"Sèks")</f>
        <v>Sèks</v>
      </c>
      <c r="F45" s="15" t="s">
        <v>104</v>
      </c>
      <c r="G45" s="15" t="s">
        <v>139</v>
      </c>
      <c r="H45" s="15" t="s">
        <v>179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</row>
    <row r="46" ht="14.25" customHeight="1">
      <c r="A46" s="21" t="s">
        <v>201</v>
      </c>
      <c r="B46" s="21" t="s">
        <v>202</v>
      </c>
      <c r="C46" s="15" t="s">
        <v>203</v>
      </c>
      <c r="D46" s="9" t="s">
        <v>204</v>
      </c>
      <c r="E46" s="15" t="str">
        <f>IFERROR(__xludf.DUMMYFUNCTION("GOOGLETRANSLATE(C46, ""en"", ""ht"")"),"Wòl")</f>
        <v>Wòl</v>
      </c>
      <c r="F46" s="15"/>
      <c r="G46" s="15" t="s">
        <v>139</v>
      </c>
      <c r="H46" s="15"/>
      <c r="I46" s="15"/>
      <c r="J46" s="9" t="s">
        <v>205</v>
      </c>
      <c r="K46" s="9" t="s">
        <v>206</v>
      </c>
      <c r="L46" s="15" t="str">
        <f>IFERROR(__xludf.DUMMYFUNCTION("GOOGLETRANSLATE(K46, ""en"", ""fr"")"),"Le type d'utilisateur « infirmière » ne peut pas créer d'infirmière.")</f>
        <v>Le type d'utilisateur « infirmière » ne peut pas créer d'infirmière.</v>
      </c>
      <c r="M46" s="15" t="str">
        <f>IFERROR(__xludf.DUMMYFUNCTION("GOOGLETRANSLATE(K46, ""en"", ""ht"")"),"Kalite itilizatè ""enfimyè"" pa ka kreye yon enfimyè.")</f>
        <v>Kalite itilizatè "enfimyè" pa ka kreye yon enfimyè.</v>
      </c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</row>
    <row r="47" ht="14.25" customHeight="1">
      <c r="A47" s="21" t="s">
        <v>49</v>
      </c>
      <c r="B47" s="21" t="s">
        <v>207</v>
      </c>
      <c r="C47" s="15" t="s">
        <v>208</v>
      </c>
      <c r="D47" s="9" t="s">
        <v>209</v>
      </c>
      <c r="E47" s="15" t="str">
        <f>IFERROR(__xludf.DUMMYFUNCTION("GOOGLETRANSLATE(C47, ""en"", ""ht"")"),"Espesifye lòt")</f>
        <v>Espesifye lòt</v>
      </c>
      <c r="F47" s="15" t="s">
        <v>104</v>
      </c>
      <c r="G47" s="15" t="s">
        <v>210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</row>
    <row r="48" ht="14.25" customHeight="1">
      <c r="A48" s="21" t="s">
        <v>49</v>
      </c>
      <c r="B48" s="21" t="s">
        <v>211</v>
      </c>
      <c r="C48" s="15" t="s">
        <v>212</v>
      </c>
      <c r="D48" s="9" t="s">
        <v>213</v>
      </c>
      <c r="E48" s="15" t="str">
        <f>IFERROR(__xludf.DUMMYFUNCTION("GOOGLETRANSLATE(C48, ""en"", ""ht"")"),"ID ekstèn")</f>
        <v>ID ekstèn</v>
      </c>
      <c r="F48" s="15"/>
      <c r="G48" s="15" t="s">
        <v>139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</row>
    <row r="49" ht="14.25" customHeight="1">
      <c r="A49" s="21" t="s">
        <v>49</v>
      </c>
      <c r="B49" s="21" t="s">
        <v>24</v>
      </c>
      <c r="C49" s="15" t="s">
        <v>214</v>
      </c>
      <c r="D49" s="9" t="s">
        <v>214</v>
      </c>
      <c r="E49" s="15" t="str">
        <f>IFERROR(__xludf.DUMMYFUNCTION("GOOGLETRANSLATE(C49, ""en"", ""ht"")"),"Nòt")</f>
        <v>Nòt</v>
      </c>
      <c r="F49" s="15"/>
      <c r="G49" s="15" t="s">
        <v>139</v>
      </c>
      <c r="H49" s="15" t="s">
        <v>215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</row>
    <row r="50" ht="14.25" customHeight="1">
      <c r="A50" s="21" t="s">
        <v>25</v>
      </c>
      <c r="B50" s="21" t="s">
        <v>216</v>
      </c>
      <c r="C50" s="15" t="s">
        <v>28</v>
      </c>
      <c r="D50" s="9" t="s">
        <v>28</v>
      </c>
      <c r="E50" s="9" t="s">
        <v>28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</row>
    <row r="51" ht="14.25" customHeight="1">
      <c r="A51" s="21" t="s">
        <v>116</v>
      </c>
      <c r="B51" s="21" t="s">
        <v>217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27" t="s">
        <v>218</v>
      </c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</row>
    <row r="52" ht="14.25" customHeight="1">
      <c r="A52" s="21" t="s">
        <v>72</v>
      </c>
      <c r="B52" s="21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</row>
    <row r="53" ht="14.25" customHeight="1">
      <c r="A53" s="21" t="s">
        <v>25</v>
      </c>
      <c r="B53" s="21" t="s">
        <v>219</v>
      </c>
      <c r="C53" s="15" t="s">
        <v>28</v>
      </c>
      <c r="D53" s="9" t="s">
        <v>28</v>
      </c>
      <c r="E53" s="9" t="s">
        <v>28</v>
      </c>
      <c r="F53" s="15"/>
      <c r="G53" s="15"/>
      <c r="H53" s="15" t="s">
        <v>69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</row>
    <row r="54" ht="14.25" customHeight="1">
      <c r="A54" s="21" t="s">
        <v>116</v>
      </c>
      <c r="B54" s="21" t="s">
        <v>220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 t="s">
        <v>221</v>
      </c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</row>
    <row r="55" ht="14.25" customHeight="1">
      <c r="A55" s="21" t="s">
        <v>116</v>
      </c>
      <c r="B55" s="21" t="s">
        <v>222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 t="s">
        <v>223</v>
      </c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</row>
    <row r="56" ht="14.25" customHeight="1">
      <c r="A56" s="21" t="s">
        <v>116</v>
      </c>
      <c r="B56" s="21" t="s">
        <v>224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 t="s">
        <v>225</v>
      </c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</row>
    <row r="57" ht="14.25" customHeight="1">
      <c r="A57" s="21" t="s">
        <v>72</v>
      </c>
      <c r="B57" s="21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</row>
    <row r="58" ht="14.25" customHeight="1">
      <c r="A58" s="21" t="s">
        <v>72</v>
      </c>
      <c r="B58" s="21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</row>
    <row r="59" ht="14.25" customHeight="1">
      <c r="A59" s="6"/>
      <c r="B59" s="6"/>
      <c r="C59" s="6"/>
      <c r="D59" s="15"/>
      <c r="E59" s="20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15"/>
      <c r="R59" s="20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 ht="14.25" customHeight="1">
      <c r="A60" s="21" t="s">
        <v>25</v>
      </c>
      <c r="B60" s="21" t="s">
        <v>131</v>
      </c>
      <c r="C60" s="15" t="s">
        <v>28</v>
      </c>
      <c r="D60" s="9" t="s">
        <v>28</v>
      </c>
      <c r="E60" s="9" t="s">
        <v>28</v>
      </c>
      <c r="F60" s="15"/>
      <c r="G60" s="15"/>
      <c r="H60" s="15" t="s">
        <v>91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</row>
    <row r="61" ht="14.25" customHeight="1">
      <c r="A61" s="28" t="s">
        <v>69</v>
      </c>
      <c r="B61" s="21" t="s">
        <v>140</v>
      </c>
      <c r="C61" s="15" t="s">
        <v>28</v>
      </c>
      <c r="D61" s="9" t="s">
        <v>28</v>
      </c>
      <c r="E61" s="9" t="s">
        <v>28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 t="s">
        <v>141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</row>
    <row r="62" ht="14.25" customHeight="1">
      <c r="A62" s="28" t="s">
        <v>69</v>
      </c>
      <c r="B62" s="21" t="s">
        <v>1</v>
      </c>
      <c r="C62" s="15" t="s">
        <v>28</v>
      </c>
      <c r="D62" s="9" t="s">
        <v>28</v>
      </c>
      <c r="E62" s="9" t="s">
        <v>28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</row>
    <row r="63" ht="14.25" customHeight="1">
      <c r="A63" s="21" t="s">
        <v>226</v>
      </c>
      <c r="B63" s="21" t="s">
        <v>227</v>
      </c>
      <c r="C63" s="15" t="s">
        <v>228</v>
      </c>
      <c r="D63" s="9" t="s">
        <v>229</v>
      </c>
      <c r="E63" s="15" t="str">
        <f>IFERROR(__xludf.DUMMYFUNCTION("GOOGLETRANSLATE(""Would you like to name the place after the primary contact:"", ""en"", ""ht"") &amp; "" """""" &amp; ""${generated_name_translation}"" &amp; """"""?"""),"Èske ou ta renmen bay kote a non kontak prensipal la: ""${generated_name_translation}""?")</f>
        <v>Èske ou ta renmen bay kote a non kontak prensipal la: "${generated_name_translation}"?</v>
      </c>
      <c r="F63" s="15" t="s">
        <v>104</v>
      </c>
      <c r="G63" s="15" t="s">
        <v>230</v>
      </c>
      <c r="H63" s="15" t="s">
        <v>105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 t="s">
        <v>14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</row>
    <row r="64" ht="14.25" customHeight="1">
      <c r="A64" s="21" t="s">
        <v>116</v>
      </c>
      <c r="B64" s="21" t="s">
        <v>2</v>
      </c>
      <c r="C64" s="15" t="s">
        <v>112</v>
      </c>
      <c r="D64" s="9" t="s">
        <v>113</v>
      </c>
      <c r="E64" s="15" t="str">
        <f>IFERROR(__xludf.DUMMYFUNCTION("GOOGLETRANSLATE(C64, ""en"", ""ht"")"),"Non")</f>
        <v>Non</v>
      </c>
      <c r="F64" s="15" t="s">
        <v>104</v>
      </c>
      <c r="G64" s="15"/>
      <c r="H64" s="15"/>
      <c r="I64" s="15"/>
      <c r="J64" s="15"/>
      <c r="K64" s="25"/>
      <c r="L64" s="25"/>
      <c r="M64" s="25"/>
      <c r="N64" s="15" t="s">
        <v>231</v>
      </c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</row>
    <row r="65" ht="14.25" customHeight="1">
      <c r="A65" s="21" t="s">
        <v>49</v>
      </c>
      <c r="B65" s="21" t="s">
        <v>211</v>
      </c>
      <c r="C65" s="15" t="s">
        <v>212</v>
      </c>
      <c r="D65" s="9" t="s">
        <v>213</v>
      </c>
      <c r="E65" s="15" t="str">
        <f>IFERROR(__xludf.DUMMYFUNCTION("GOOGLETRANSLATE(C65, ""en"", ""ht"")"),"ID ekstèn")</f>
        <v>ID ekstèn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</row>
    <row r="66" ht="14.25" customHeight="1">
      <c r="A66" s="21" t="s">
        <v>49</v>
      </c>
      <c r="B66" s="21" t="s">
        <v>24</v>
      </c>
      <c r="C66" s="15" t="s">
        <v>214</v>
      </c>
      <c r="D66" s="9" t="s">
        <v>214</v>
      </c>
      <c r="E66" s="15" t="str">
        <f>IFERROR(__xludf.DUMMYFUNCTION("GOOGLETRANSLATE(C66, ""en"", ""ht"")"),"Nòt")</f>
        <v>Nòt</v>
      </c>
      <c r="F66" s="15"/>
      <c r="G66" s="15"/>
      <c r="H66" s="15" t="s">
        <v>215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</row>
    <row r="67" ht="14.25" customHeight="1">
      <c r="A67" s="21" t="s">
        <v>116</v>
      </c>
      <c r="B67" s="21" t="s">
        <v>43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 t="s">
        <v>232</v>
      </c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</row>
    <row r="68" ht="14.25" customHeight="1">
      <c r="A68" s="21" t="s">
        <v>116</v>
      </c>
      <c r="B68" s="21" t="s">
        <v>233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 t="s">
        <v>234</v>
      </c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</row>
    <row r="69" ht="14.25" customHeight="1">
      <c r="A69" s="21" t="s">
        <v>25</v>
      </c>
      <c r="B69" s="21" t="s">
        <v>219</v>
      </c>
      <c r="C69" s="15" t="s">
        <v>28</v>
      </c>
      <c r="D69" s="9" t="s">
        <v>28</v>
      </c>
      <c r="E69" s="9" t="s">
        <v>28</v>
      </c>
      <c r="F69" s="15"/>
      <c r="G69" s="15"/>
      <c r="H69" s="15" t="s">
        <v>69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</row>
    <row r="70" ht="14.25" customHeight="1">
      <c r="A70" s="21" t="s">
        <v>116</v>
      </c>
      <c r="B70" s="21" t="s">
        <v>220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 t="s">
        <v>221</v>
      </c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</row>
    <row r="71" ht="14.25" customHeight="1">
      <c r="A71" s="21" t="s">
        <v>116</v>
      </c>
      <c r="B71" s="21" t="s">
        <v>222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 t="s">
        <v>223</v>
      </c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</row>
    <row r="72" ht="14.25" customHeight="1">
      <c r="A72" s="21" t="s">
        <v>116</v>
      </c>
      <c r="B72" s="21" t="s">
        <v>224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 t="s">
        <v>225</v>
      </c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</row>
    <row r="73" ht="14.25" customHeight="1">
      <c r="A73" s="21" t="s">
        <v>72</v>
      </c>
      <c r="B73" s="21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</row>
    <row r="74" ht="14.25" customHeight="1">
      <c r="A74" s="21" t="s">
        <v>72</v>
      </c>
      <c r="B74" s="21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4.43"/>
    <col customWidth="1" min="3" max="3" width="29.0"/>
    <col customWidth="1" min="4" max="4" width="14.29"/>
    <col customWidth="1" min="5" max="8" width="7.71"/>
    <col customWidth="1" min="9" max="21" width="15.14"/>
  </cols>
  <sheetData>
    <row r="1" ht="14.25" customHeight="1">
      <c r="A1" s="1" t="s">
        <v>0</v>
      </c>
      <c r="B1" s="1" t="s">
        <v>2</v>
      </c>
      <c r="C1" s="1" t="s">
        <v>3</v>
      </c>
      <c r="D1" s="3" t="s">
        <v>4</v>
      </c>
      <c r="E1" s="4" t="s">
        <v>5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ht="14.25" customHeight="1">
      <c r="A2" s="8" t="s">
        <v>12</v>
      </c>
      <c r="B2" s="8" t="s">
        <v>14</v>
      </c>
      <c r="C2" s="8" t="s">
        <v>15</v>
      </c>
      <c r="D2" s="9" t="s">
        <v>17</v>
      </c>
      <c r="E2" s="6" t="str">
        <f>IFERROR(__xludf.DUMMYFUNCTION("GOOGLETRANSLATE(C2, ""en"", ""ht"")"),"Wi")</f>
        <v>Wi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ht="14.25" customHeight="1">
      <c r="A3" s="8" t="s">
        <v>12</v>
      </c>
      <c r="B3" s="8" t="s">
        <v>31</v>
      </c>
      <c r="C3" s="8" t="s">
        <v>32</v>
      </c>
      <c r="D3" s="9" t="s">
        <v>33</v>
      </c>
      <c r="E3" s="6" t="str">
        <f>IFERROR(__xludf.DUMMYFUNCTION("GOOGLETRANSLATE(C3, ""en"", ""ht"")"),"Non")</f>
        <v>Non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ht="14.25" customHeight="1">
      <c r="A4" s="8" t="s">
        <v>36</v>
      </c>
      <c r="B4" s="8" t="s">
        <v>37</v>
      </c>
      <c r="C4" s="8" t="s">
        <v>38</v>
      </c>
      <c r="D4" s="9" t="s">
        <v>39</v>
      </c>
      <c r="E4" s="6" t="str">
        <f>IFERROR(__xludf.DUMMYFUNCTION("GOOGLETRANSLATE(C4, ""en"", ""ht"")"),"Fi")</f>
        <v>Fi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ht="14.25" customHeight="1">
      <c r="A5" s="8" t="s">
        <v>36</v>
      </c>
      <c r="B5" s="8" t="s">
        <v>40</v>
      </c>
      <c r="C5" s="8" t="s">
        <v>41</v>
      </c>
      <c r="D5" s="9" t="s">
        <v>42</v>
      </c>
      <c r="E5" s="6" t="str">
        <f>IFERROR(__xludf.DUMMYFUNCTION("GOOGLETRANSLATE(C5, ""en"", ""ht"")"),"Gason")</f>
        <v>Gason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ht="14.25" customHeight="1">
      <c r="A6" s="8" t="s">
        <v>43</v>
      </c>
      <c r="B6" s="13" t="s">
        <v>44</v>
      </c>
      <c r="C6" s="14" t="s">
        <v>46</v>
      </c>
      <c r="D6" s="9" t="s">
        <v>47</v>
      </c>
      <c r="E6" s="6" t="str">
        <f>IFERROR(__xludf.DUMMYFUNCTION("GOOGLETRANSLATE(C6, ""en"", ""ht"")"),"Kreye yon nouvo moun")</f>
        <v>Kreye yon nouvo moun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ht="14.25" customHeight="1">
      <c r="A7" s="8" t="s">
        <v>43</v>
      </c>
      <c r="B7" s="13" t="s">
        <v>48</v>
      </c>
      <c r="C7" s="14" t="s">
        <v>51</v>
      </c>
      <c r="D7" s="9" t="s">
        <v>52</v>
      </c>
      <c r="E7" s="6" t="str">
        <f>IFERROR(__xludf.DUMMYFUNCTION("GOOGLETRANSLATE(C7, ""en"", ""ht"")"),"Chwazi yon moun ki deja egziste")</f>
        <v>Chwazi yon moun ki deja egziste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ht="14.25" customHeight="1">
      <c r="A8" s="8" t="s">
        <v>43</v>
      </c>
      <c r="B8" s="13" t="s">
        <v>55</v>
      </c>
      <c r="C8" s="14" t="s">
        <v>57</v>
      </c>
      <c r="D8" s="9" t="s">
        <v>58</v>
      </c>
      <c r="E8" s="6" t="str">
        <f>IFERROR(__xludf.DUMMYFUNCTION("GOOGLETRANSLATE(C8, ""en"", ""ht"")"),"Sote etap sa a")</f>
        <v>Sote etap sa a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ht="14.25" customHeight="1">
      <c r="A9" s="6" t="s">
        <v>60</v>
      </c>
      <c r="B9" s="13" t="s">
        <v>61</v>
      </c>
      <c r="C9" s="14" t="s">
        <v>63</v>
      </c>
      <c r="D9" s="15" t="str">
        <f>IFERROR(__xludf.DUMMYFUNCTION("GOOGLETRANSLATE(C9, ""en"", ""fr"")"),"Date de naissance inconnue")</f>
        <v>Date de naissance inconnue</v>
      </c>
      <c r="E9" s="6" t="str">
        <f>IFERROR(__xludf.DUMMYFUNCTION("GOOGLETRANSLATE(C9, ""en"", ""ht"")"),"Dat nesans enkoni")</f>
        <v>Dat nesans enkoni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ht="14.25" customHeight="1">
      <c r="A10" s="6" t="s">
        <v>65</v>
      </c>
      <c r="B10" s="13" t="s">
        <v>66</v>
      </c>
      <c r="C10" s="14" t="s">
        <v>67</v>
      </c>
      <c r="D10" s="9" t="s">
        <v>68</v>
      </c>
      <c r="E10" s="6" t="str">
        <f>IFERROR(__xludf.DUMMYFUNCTION("GOOGLETRANSLATE(C10, ""en"", ""ht"")"),"Enfimyè")</f>
        <v>Enfimyè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ht="14.25" customHeight="1">
      <c r="A11" s="4" t="s">
        <v>65</v>
      </c>
      <c r="B11" s="17" t="s">
        <v>70</v>
      </c>
      <c r="C11" s="18" t="s">
        <v>71</v>
      </c>
      <c r="D11" s="9" t="str">
        <f>IFERROR(__xludf.DUMMYFUNCTION("GOOGLETRANSLATE(C11, ""en"", ""fr"")"),"Entrepreneur en santé communautaire")</f>
        <v>Entrepreneur en santé communautaire</v>
      </c>
      <c r="E11" s="6" t="str">
        <f>IFERROR(__xludf.DUMMYFUNCTION("GOOGLETRANSLATE(C11, ""en"", ""ht"")"),"Antreprenè Sante Kominotè")</f>
        <v>Antreprenè Sante Kominotè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ht="14.25" customHeight="1">
      <c r="A12" s="6" t="s">
        <v>65</v>
      </c>
      <c r="B12" s="6" t="s">
        <v>73</v>
      </c>
      <c r="C12" s="6" t="s">
        <v>74</v>
      </c>
      <c r="D12" s="9" t="s">
        <v>74</v>
      </c>
      <c r="E12" s="6" t="str">
        <f>IFERROR(__xludf.DUMMYFUNCTION("GOOGLETRANSLATE(C12, ""en"", ""ht"")"),"Pasyan")</f>
        <v>Pasyan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ht="14.25" customHeight="1">
      <c r="A13" s="6" t="s">
        <v>65</v>
      </c>
      <c r="B13" s="13" t="s">
        <v>75</v>
      </c>
      <c r="C13" s="14" t="s">
        <v>76</v>
      </c>
      <c r="D13" s="9" t="s">
        <v>77</v>
      </c>
      <c r="E13" s="6" t="str">
        <f>IFERROR(__xludf.DUMMYFUNCTION("GOOGLETRANSLATE(C13, ""en"", ""ht"")"),"Lòt")</f>
        <v>Lòt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ht="14.25" customHeight="1">
      <c r="A14" s="8" t="s">
        <v>80</v>
      </c>
      <c r="B14" s="8" t="s">
        <v>14</v>
      </c>
      <c r="C14" s="8" t="s">
        <v>15</v>
      </c>
      <c r="D14" s="9" t="s">
        <v>17</v>
      </c>
      <c r="E14" s="6" t="str">
        <f>IFERROR(__xludf.DUMMYFUNCTION("GOOGLETRANSLATE(C14, ""en"", ""ht"")"),"Wi")</f>
        <v>Wi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ht="14.25" customHeight="1">
      <c r="A15" s="8" t="s">
        <v>80</v>
      </c>
      <c r="B15" s="8" t="s">
        <v>31</v>
      </c>
      <c r="C15" s="8" t="s">
        <v>81</v>
      </c>
      <c r="D15" s="9" t="s">
        <v>82</v>
      </c>
      <c r="E15" s="6" t="str">
        <f>IFERROR(__xludf.DUMMYFUNCTION("GOOGLETRANSLATE(C15, ""en"", ""ht"")"),"Non, mwen vle bay li yon non manyèlman.")</f>
        <v>Non, mwen vle bay li yon non manyèlman.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ht="14.25" customHeight="1">
      <c r="A16" s="6" t="s">
        <v>83</v>
      </c>
      <c r="B16" s="13" t="s">
        <v>84</v>
      </c>
      <c r="C16" s="18" t="s">
        <v>85</v>
      </c>
      <c r="D16" s="9" t="s">
        <v>86</v>
      </c>
      <c r="E16" s="6" t="str">
        <f>IFERROR(__xludf.DUMMYFUNCTION("GOOGLETRANSLATE(C16, ""en"", ""ht"")"),"Depatman Peyi a")</f>
        <v>Depatman Peyi a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ht="14.25" customHeight="1">
      <c r="A17" s="6" t="s">
        <v>83</v>
      </c>
      <c r="B17" s="13" t="s">
        <v>88</v>
      </c>
      <c r="C17" s="18" t="s">
        <v>89</v>
      </c>
      <c r="D17" s="9" t="s">
        <v>90</v>
      </c>
      <c r="E17" s="6" t="str">
        <f>IFERROR(__xludf.DUMMYFUNCTION("GOOGLETRANSLATE(C17, ""en"", ""ht"")"),"Rejyon Sipèvizè")</f>
        <v>Rejyon Sipèvizè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ht="14.25" customHeight="1">
      <c r="A18" s="6" t="s">
        <v>83</v>
      </c>
      <c r="B18" s="13" t="s">
        <v>92</v>
      </c>
      <c r="C18" s="18" t="s">
        <v>93</v>
      </c>
      <c r="D18" s="9" t="s">
        <v>94</v>
      </c>
      <c r="E18" s="6" t="str">
        <f>IFERROR(__xludf.DUMMYFUNCTION("GOOGLETRANSLATE(C18, ""en"", ""ht"")"),"Zòn Enfimyè")</f>
        <v>Zòn Enfimyè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ht="14.25" customHeight="1">
      <c r="A19" s="6" t="s">
        <v>95</v>
      </c>
      <c r="B19" s="13" t="s">
        <v>84</v>
      </c>
      <c r="C19" s="18" t="s">
        <v>96</v>
      </c>
      <c r="D19" s="9" t="s">
        <v>98</v>
      </c>
      <c r="E19" s="6" t="str">
        <f>IFERROR(__xludf.DUMMYFUNCTION("GOOGLETRANSLATE(""Health Facility of"", ""en"", ""ht"") &amp; "" ${contact_name}"""),"Sant Sante nan ${contact_name}")</f>
        <v>Sant Sante nan ${contact_name}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ht="14.25" customHeight="1">
      <c r="A20" s="6" t="s">
        <v>95</v>
      </c>
      <c r="B20" s="13" t="s">
        <v>88</v>
      </c>
      <c r="C20" s="18" t="s">
        <v>102</v>
      </c>
      <c r="D20" s="9" t="s">
        <v>103</v>
      </c>
      <c r="E20" s="6" t="str">
        <f>IFERROR(__xludf.DUMMYFUNCTION("GOOGLETRANSLATE(""Area of"", ""en"", ""ht"") &amp; "" ${contact_name}"""),"Zòn nan ${contact_name}")</f>
        <v>Zòn nan ${contact_name}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ht="14.25" customHeight="1">
      <c r="A21" s="6" t="s">
        <v>95</v>
      </c>
      <c r="B21" s="13" t="s">
        <v>92</v>
      </c>
      <c r="C21" s="18" t="s">
        <v>106</v>
      </c>
      <c r="D21" s="9" t="s">
        <v>107</v>
      </c>
      <c r="E21" s="6" t="str">
        <f>IFERROR(__xludf.DUMMYFUNCTION("GOOGLETRANSLATE(""Household of"", ""en"", ""ht"") &amp; "" ${contact_name}"""),"Kay la ${contact_name}")</f>
        <v>Kay la ${contact_name}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ht="14.25" customHeight="1">
      <c r="A22" s="22" t="s">
        <v>109</v>
      </c>
      <c r="B22" s="13" t="s">
        <v>2</v>
      </c>
      <c r="C22" s="14" t="s">
        <v>112</v>
      </c>
      <c r="D22" s="9" t="s">
        <v>113</v>
      </c>
      <c r="E22" s="6" t="str">
        <f>IFERROR(__xludf.DUMMYFUNCTION("GOOGLETRANSLATE(C22, ""en"", ""ht"")"),"Non")</f>
        <v>Non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12.71"/>
    <col customWidth="1" min="3" max="3" width="19.0"/>
    <col customWidth="1" min="4" max="4" width="5.71"/>
    <col customWidth="1" min="5" max="5" width="14.29"/>
    <col customWidth="1" min="6" max="6" width="34.0"/>
    <col customWidth="1" min="7" max="14" width="7.71"/>
    <col customWidth="1" min="15" max="25" width="15.14"/>
  </cols>
  <sheetData>
    <row r="1" ht="14.25" customHeight="1">
      <c r="A1" s="2" t="s">
        <v>26</v>
      </c>
      <c r="B1" s="2" t="s">
        <v>29</v>
      </c>
      <c r="C1" s="2" t="s">
        <v>30</v>
      </c>
      <c r="D1" s="2" t="s">
        <v>34</v>
      </c>
      <c r="E1" s="2" t="s">
        <v>35</v>
      </c>
      <c r="F1" s="2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4.25" customHeight="1">
      <c r="A2" s="6" t="s">
        <v>54</v>
      </c>
      <c r="B2" s="6" t="s">
        <v>56</v>
      </c>
      <c r="C2" s="19" t="str">
        <f>TEXT(NOW(), "yyyy-mm-dd_HH-MM")</f>
        <v>2026-09-24_00-44</v>
      </c>
      <c r="D2" s="6" t="s">
        <v>78</v>
      </c>
      <c r="E2" s="6" t="s">
        <v>79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14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14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14.2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14.2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14.2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4.2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14.2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14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14.2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14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4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4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14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4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