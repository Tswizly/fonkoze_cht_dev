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rvey" sheetId="1" r:id="rId5"/>
    <sheet state="visible" name="choices" sheetId="2" r:id="rId6"/>
    <sheet state="visible" name="settings" sheetId="3" r:id="rId7"/>
  </sheets>
  <definedNames/>
  <calcPr/>
</workbook>
</file>

<file path=xl/sharedStrings.xml><?xml version="1.0" encoding="utf-8"?>
<sst xmlns="http://schemas.openxmlformats.org/spreadsheetml/2006/main" count="361" uniqueCount="207">
  <si>
    <t>list_name</t>
  </si>
  <si>
    <t>form_title</t>
  </si>
  <si>
    <t>type</t>
  </si>
  <si>
    <t>name</t>
  </si>
  <si>
    <t>label::en</t>
  </si>
  <si>
    <t>form_id</t>
  </si>
  <si>
    <t>version</t>
  </si>
  <si>
    <t>style</t>
  </si>
  <si>
    <t>label::fr</t>
  </si>
  <si>
    <t>default_language</t>
  </si>
  <si>
    <t>label::cr</t>
  </si>
  <si>
    <t>New PLACE_NAME</t>
  </si>
  <si>
    <t>required</t>
  </si>
  <si>
    <t>contact:PLACE_TYPE:create</t>
  </si>
  <si>
    <t>relevant</t>
  </si>
  <si>
    <t>appearance</t>
  </si>
  <si>
    <t>read_only</t>
  </si>
  <si>
    <t>yes_no</t>
  </si>
  <si>
    <t>constraint</t>
  </si>
  <si>
    <t>constraint_message</t>
  </si>
  <si>
    <t>true</t>
  </si>
  <si>
    <t>calculation</t>
  </si>
  <si>
    <t>Yes</t>
  </si>
  <si>
    <t>choice_filter</t>
  </si>
  <si>
    <t>hint::en</t>
  </si>
  <si>
    <t>hint::fr</t>
  </si>
  <si>
    <t>hint::cr</t>
  </si>
  <si>
    <t>default</t>
  </si>
  <si>
    <t>notes</t>
  </si>
  <si>
    <t>begin group</t>
  </si>
  <si>
    <t>pages</t>
  </si>
  <si>
    <t>en</t>
  </si>
  <si>
    <t>inputs</t>
  </si>
  <si>
    <t>NO_LABEL</t>
  </si>
  <si>
    <t>false</t>
  </si>
  <si>
    <t>No</t>
  </si>
  <si>
    <t>male_female</t>
  </si>
  <si>
    <t>female</t>
  </si>
  <si>
    <t>Female</t>
  </si>
  <si>
    <t>male</t>
  </si>
  <si>
    <t>Male</t>
  </si>
  <si>
    <t>contact</t>
  </si>
  <si>
    <t>new_person</t>
  </si>
  <si>
    <t>Create a new person</t>
  </si>
  <si>
    <t>user</t>
  </si>
  <si>
    <t>old_person</t>
  </si>
  <si>
    <t>Select an existing person</t>
  </si>
  <si>
    <t>string</t>
  </si>
  <si>
    <t>contact_id</t>
  </si>
  <si>
    <t>none</t>
  </si>
  <si>
    <t>Skip this step</t>
  </si>
  <si>
    <t>select_dob_method</t>
  </si>
  <si>
    <t>approx</t>
  </si>
  <si>
    <t>Date of birth unknown</t>
  </si>
  <si>
    <t>Contact ID of the logged in user</t>
  </si>
  <si>
    <t>facility_id</t>
  </si>
  <si>
    <t>roles</t>
  </si>
  <si>
    <t>program_officer</t>
  </si>
  <si>
    <t>Program Officer</t>
  </si>
  <si>
    <t>Place ID of the logged in user</t>
  </si>
  <si>
    <t>nurse</t>
  </si>
  <si>
    <t>Nurse</t>
  </si>
  <si>
    <t>Name of the logged in user</t>
  </si>
  <si>
    <t>end group</t>
  </si>
  <si>
    <t>che</t>
  </si>
  <si>
    <t>Community Health Entrepreneur</t>
  </si>
  <si>
    <t>nurse_supervisor</t>
  </si>
  <si>
    <t>Nurse Supervisor</t>
  </si>
  <si>
    <t>patient</t>
  </si>
  <si>
    <t>Patient</t>
  </si>
  <si>
    <t>other</t>
  </si>
  <si>
    <t>Other</t>
  </si>
  <si>
    <t>init</t>
  </si>
  <si>
    <t>yes_no_generated_name</t>
  </si>
  <si>
    <t>field-list</t>
  </si>
  <si>
    <t>No, I want to name it manually</t>
  </si>
  <si>
    <t>select_one contact</t>
  </si>
  <si>
    <t>create_new_person</t>
  </si>
  <si>
    <t>Set the Primary Contact</t>
  </si>
  <si>
    <t>place_type</t>
  </si>
  <si>
    <t>district_hospital</t>
  </si>
  <si>
    <t>Country Department</t>
  </si>
  <si>
    <t>yes</t>
  </si>
  <si>
    <t>columns-pack</t>
  </si>
  <si>
    <t>health_center</t>
  </si>
  <si>
    <t>Supervisor Region</t>
  </si>
  <si>
    <t>select_person</t>
  </si>
  <si>
    <t>Select the Primary Contact</t>
  </si>
  <si>
    <t>selected(${create_new_person},'old_person')</t>
  </si>
  <si>
    <t>select-contact type-person</t>
  </si>
  <si>
    <t>clinic</t>
  </si>
  <si>
    <t>Nurse Zone</t>
  </si>
  <si>
    <t>generated_name</t>
  </si>
  <si>
    <t>${contact_name}'s Department</t>
  </si>
  <si>
    <t>hidden</t>
  </si>
  <si>
    <t>${contact_name}'s Region</t>
  </si>
  <si>
    <t>${contact_name}'s Zone</t>
  </si>
  <si>
    <t>calculate</t>
  </si>
  <si>
    <t>contact_name</t>
  </si>
  <si>
    <t>coalesce(../../contact/name, ../name)</t>
  </si>
  <si>
    <t>translate_name_label</t>
  </si>
  <si>
    <t>Name</t>
  </si>
  <si>
    <t>select_one translate_name_label</t>
  </si>
  <si>
    <t>custom_place_name_label_translator</t>
  </si>
  <si>
    <t>selected(${create_new_person},'none') or selected(${is_name_generated}, 'false')</t>
  </si>
  <si>
    <t>"name"</t>
  </si>
  <si>
    <t>custom_place_name_label</t>
  </si>
  <si>
    <t>jr:choice-name(${custom_place_name_label_translator},'${custom_place_name_label_translator}')</t>
  </si>
  <si>
    <t>custom_place_name</t>
  </si>
  <si>
    <t>${custom_place_name_label}</t>
  </si>
  <si>
    <t>Standalone question only if no contact is selected, so show label accordingly</t>
  </si>
  <si>
    <t>select_one place_type</t>
  </si>
  <si>
    <t>Enter the name of this place</t>
  </si>
  <si>
    <t>PLACE_TYPE</t>
  </si>
  <si>
    <t>place_type_translation</t>
  </si>
  <si>
    <t>jr:choice-name(${place_type},'${place_type}')</t>
  </si>
  <si>
    <t>select_one generated_name</t>
  </si>
  <si>
    <t>generated_name_translation</t>
  </si>
  <si>
    <t>jr:choice-name(${generated_name},'${generated_name}')</t>
  </si>
  <si>
    <t>New Person</t>
  </si>
  <si>
    <t>selected(${create_new_person},'new_person')</t>
  </si>
  <si>
    <t>parent</t>
  </si>
  <si>
    <t>PARENT</t>
  </si>
  <si>
    <t>person</t>
  </si>
  <si>
    <t>Full Name</t>
  </si>
  <si>
    <t xml:space="preserve"> </t>
  </si>
  <si>
    <t>short_name</t>
  </si>
  <si>
    <t>Short name</t>
  </si>
  <si>
    <t>no</t>
  </si>
  <si>
    <t>string-length(.) &lt;= 10</t>
  </si>
  <si>
    <t>Short name can not be more than 10 characters long.</t>
  </si>
  <si>
    <t>Please enter a short name that is preferred by the person.</t>
  </si>
  <si>
    <t>date_of_birth</t>
  </si>
  <si>
    <t>../ephemeral_dob/dob_iso</t>
  </si>
  <si>
    <t>date_of_birth_method</t>
  </si>
  <si>
    <t>../ephemeral_dob/dob_method</t>
  </si>
  <si>
    <t>ephemeral_dob</t>
  </si>
  <si>
    <t>date</t>
  </si>
  <si>
    <t>dob_calendar</t>
  </si>
  <si>
    <t>Age</t>
  </si>
  <si>
    <t>not(selected(../dob_method,'approx'))</t>
  </si>
  <si>
    <t>. &lt;= now()</t>
  </si>
  <si>
    <t>Date must be before today</t>
  </si>
  <si>
    <t>Date of Birth</t>
  </si>
  <si>
    <t>note</t>
  </si>
  <si>
    <t>age_label</t>
  </si>
  <si>
    <t>**Age**</t>
  </si>
  <si>
    <t>selected(../dob_method,'approx')</t>
  </si>
  <si>
    <t>integer</t>
  </si>
  <si>
    <t>age_years</t>
  </si>
  <si>
    <t>Years</t>
  </si>
  <si>
    <t>. &gt;= 0 and . &lt;= 130</t>
  </si>
  <si>
    <t>Age must be between 0 and 130</t>
  </si>
  <si>
    <t>age_months</t>
  </si>
  <si>
    <t>Months</t>
  </si>
  <si>
    <t>. &gt;= 0 and . &lt;= 11</t>
  </si>
  <si>
    <t>Months must between 0 and 11</t>
  </si>
  <si>
    <t>select_multiple select_dob_method</t>
  </si>
  <si>
    <t>dob_method</t>
  </si>
  <si>
    <t>DELETE_THIS_LINE</t>
  </si>
  <si>
    <t>columns</t>
  </si>
  <si>
    <t>dob_approx</t>
  </si>
  <si>
    <t>DOB</t>
  </si>
  <si>
    <t>add-date(today(), 0-${age_years}, 0-${age_months})</t>
  </si>
  <si>
    <t>dob_raw</t>
  </si>
  <si>
    <t>if(not(selected( ../dob_method,'approx')), 
../dob_calendar,
../dob_approx)</t>
  </si>
  <si>
    <t>dob_iso</t>
  </si>
  <si>
    <t>format-date-time(../dob_raw,"%Y-%m-%d")</t>
  </si>
  <si>
    <t>dob_debug</t>
  </si>
  <si>
    <t>DOB Approx: ${dob_approx}
DOB Calendar: ${dob_calendar}
DOB ISO: ${dob_iso}</t>
  </si>
  <si>
    <t>tel</t>
  </si>
  <si>
    <t>phone</t>
  </si>
  <si>
    <t>Phone Number</t>
  </si>
  <si>
    <t>Please enter a valid local number, or use the standard international format, which includes a plus sign (+) and country code. For example: +254712345678</t>
  </si>
  <si>
    <t>phone_alternate</t>
  </si>
  <si>
    <t>Alternate Phone Number</t>
  </si>
  <si>
    <t>select_one male_female</t>
  </si>
  <si>
    <t>sex</t>
  </si>
  <si>
    <t>Sex</t>
  </si>
  <si>
    <t>select_one roles</t>
  </si>
  <si>
    <t>role</t>
  </si>
  <si>
    <t>Role</t>
  </si>
  <si>
    <t>role_other</t>
  </si>
  <si>
    <t>Specify other</t>
  </si>
  <si>
    <t>selected( ${role},'other')</t>
  </si>
  <si>
    <t>external_id</t>
  </si>
  <si>
    <t>External ID</t>
  </si>
  <si>
    <t>Notes</t>
  </si>
  <si>
    <t>multiline</t>
  </si>
  <si>
    <t>user_for_contact</t>
  </si>
  <si>
    <t>create</t>
  </si>
  <si>
    <t>${phone} != '' and (selected( ${role},'chw') or selected( ${role},'chw_supervisor'))</t>
  </si>
  <si>
    <t>meta</t>
  </si>
  <si>
    <t>created_by</t>
  </si>
  <si>
    <t>../../../inputs/user/name</t>
  </si>
  <si>
    <t>created_by_person_uuid</t>
  </si>
  <si>
    <t>../../../inputs/user/contact_id</t>
  </si>
  <si>
    <t>created_by_place_uuid</t>
  </si>
  <si>
    <t>../../../inputs/user/facility_id</t>
  </si>
  <si>
    <t>select_one yes_no_generated_name</t>
  </si>
  <si>
    <t>is_name_generated</t>
  </si>
  <si>
    <t>Would you like to name the place after the primary contact: "${generated_name_translation}"?</t>
  </si>
  <si>
    <t>not(selected(${create_new_person},'none'))</t>
  </si>
  <si>
    <t>if( ( selected(${is_name_generated}, 'true') or selected(${is_name_generated}, 'yes') ), ${generated_name_translation}, ${custom_place_name})</t>
  </si>
  <si>
    <t>if(selected(${create_new_person},'none'), "", coalesce(${select_person},"NEW"))</t>
  </si>
  <si>
    <t>geolocation</t>
  </si>
  <si>
    <t>concat(../../inputs/meta/location/lat, concat(' ', ../../inputs/meta/location/long))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</si>
</sst>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sz val="11.0"/>
      <color theme="1"/>
      <name val="Arial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D9D9D9"/>
        <bgColor rgb="FFD9D9D9"/>
      </patternFill>
    </fill>
    <fill>
      <patternFill patternType="solid">
        <fgColor rgb="FFF3F3F3"/>
        <bgColor rgb="FFF3F3F3"/>
      </patternFill>
    </fill>
    <fill>
      <patternFill patternType="solid">
        <fgColor rgb="FF6FA8DC"/>
        <bgColor rgb="FF6FA8DC"/>
      </patternFill>
    </fill>
    <fill>
      <patternFill patternType="solid">
        <fgColor rgb="FFFFFFFF"/>
        <bgColor rgb="FFFFFFFF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1" numFmtId="0" xfId="0" applyFont="1"/>
    <xf borderId="1" fillId="2" fontId="1" numFmtId="0" xfId="0" applyBorder="1" applyFill="1" applyFont="1"/>
    <xf borderId="0" fillId="0" fontId="2" numFmtId="0" xfId="0" applyFont="1"/>
    <xf borderId="0" fillId="0" fontId="2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vertical="center"/>
    </xf>
    <xf borderId="0" fillId="0" fontId="2" numFmtId="49" xfId="0" applyFont="1" applyNumberFormat="1"/>
    <xf borderId="1" fillId="3" fontId="2" numFmtId="0" xfId="0" applyBorder="1" applyFill="1" applyFont="1"/>
    <xf borderId="1" fillId="2" fontId="2" numFmtId="0" xfId="0" applyBorder="1" applyFill="1" applyFont="1"/>
    <xf borderId="1" fillId="4" fontId="2" numFmtId="0" xfId="0" applyBorder="1" applyFill="1" applyFont="1"/>
    <xf borderId="0" fillId="0" fontId="2" numFmtId="0" xfId="0" applyAlignment="1" applyFont="1">
      <alignment vertical="top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readingOrder="0" vertical="top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vertical="bottom"/>
    </xf>
    <xf borderId="0" fillId="0" fontId="2" numFmtId="0" xfId="0" applyAlignment="1" applyFont="1">
      <alignment shrinkToFit="0" vertical="bottom" wrapText="1"/>
    </xf>
    <xf borderId="1" fillId="2" fontId="2" numFmtId="0" xfId="0" applyAlignment="1" applyBorder="1" applyFill="1" applyFont="1">
      <alignment vertical="bottom"/>
    </xf>
    <xf borderId="0" fillId="2" fontId="2" numFmtId="0" xfId="0" applyFill="1" applyFont="1"/>
    <xf borderId="1" fillId="5" fontId="2" numFmtId="0" xfId="0" applyBorder="1" applyFill="1" applyFont="1"/>
    <xf borderId="1" fillId="2" fontId="2" numFmtId="0" xfId="0" applyAlignment="1" applyBorder="1" applyFill="1" applyFont="1">
      <alignment horizontal="left"/>
    </xf>
    <xf borderId="1" fillId="6" fontId="2" numFmtId="0" xfId="0" applyAlignment="1" applyBorder="1" applyFill="1" applyFont="1">
      <alignment horizontal="left"/>
    </xf>
    <xf borderId="1" fillId="2" fontId="3" numFmtId="0" xfId="0" applyBorder="1" applyFill="1" applyFont="1"/>
    <xf borderId="1" fillId="2" fontId="2" numFmtId="0" xfId="0" applyAlignment="1" applyBorder="1" applyFill="1" applyFont="1">
      <alignment shrinkToFit="0" wrapText="1"/>
    </xf>
    <xf borderId="1" fillId="2" fontId="2" numFmtId="0" xfId="0" applyAlignment="1" applyBorder="1" applyFill="1" applyFont="1">
      <alignment horizontal="center"/>
    </xf>
    <xf borderId="1" fillId="2" fontId="4" numFmtId="0" xfId="0" applyBorder="1" applyFill="1" applyFont="1"/>
    <xf borderId="1" fillId="5" fontId="2" numFmtId="0" xfId="0" applyAlignment="1" applyBorder="1" applyFill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34.0"/>
    <col customWidth="1" min="2" max="2" width="22.71"/>
    <col customWidth="1" min="3" max="3" width="47.86"/>
    <col customWidth="1" min="4" max="5" width="16.71"/>
    <col customWidth="1" min="6" max="6" width="8.14"/>
    <col customWidth="1" min="7" max="7" width="51.43"/>
    <col customWidth="1" min="8" max="9" width="10.71"/>
    <col customWidth="1" min="10" max="10" width="25.29"/>
    <col customWidth="1" min="11" max="11" width="46.29"/>
    <col customWidth="1" min="12" max="12" width="68.86"/>
    <col customWidth="1" min="13" max="13" width="9.43"/>
    <col customWidth="1" min="14" max="14" width="33.43"/>
    <col customWidth="1" min="15" max="16" width="7.71"/>
    <col customWidth="1" min="17" max="17" width="8.71"/>
    <col customWidth="1" min="18" max="18" width="35.86"/>
    <col customWidth="1" min="19" max="28" width="7.71"/>
    <col customWidth="1" min="29" max="30" width="15.14"/>
    <col customWidth="1" min="31" max="36" width="17.29"/>
  </cols>
  <sheetData>
    <row r="1" ht="14.25" customHeight="1">
      <c r="A1" s="2" t="s">
        <v>2</v>
      </c>
      <c r="B1" s="2" t="s">
        <v>3</v>
      </c>
      <c r="C1" s="2" t="s">
        <v>4</v>
      </c>
      <c r="D1" s="3" t="s">
        <v>8</v>
      </c>
      <c r="E1" s="6" t="s">
        <v>10</v>
      </c>
      <c r="F1" s="2" t="s">
        <v>12</v>
      </c>
      <c r="G1" s="2" t="s">
        <v>14</v>
      </c>
      <c r="H1" s="2" t="s">
        <v>15</v>
      </c>
      <c r="I1" s="2" t="s">
        <v>16</v>
      </c>
      <c r="J1" s="2" t="s">
        <v>18</v>
      </c>
      <c r="K1" s="2" t="s">
        <v>19</v>
      </c>
      <c r="L1" s="2" t="s">
        <v>21</v>
      </c>
      <c r="M1" s="2" t="s">
        <v>23</v>
      </c>
      <c r="N1" s="2" t="s">
        <v>24</v>
      </c>
      <c r="O1" s="3" t="s">
        <v>25</v>
      </c>
      <c r="P1" s="6" t="s">
        <v>26</v>
      </c>
      <c r="Q1" s="2" t="s">
        <v>27</v>
      </c>
      <c r="R1" s="2" t="s">
        <v>28</v>
      </c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 ht="14.25" customHeight="1">
      <c r="A2" s="9" t="s">
        <v>29</v>
      </c>
      <c r="B2" s="9" t="s">
        <v>32</v>
      </c>
      <c r="C2" s="11" t="s">
        <v>33</v>
      </c>
      <c r="D2" s="11" t="str">
        <f>IFERROR(__xludf.DUMMYFUNCTION("IF(C2="""", """", GOOGLETRANSLATE(C2, ""en"", ""fr""))"),"SANS ÉTIQUETTE")</f>
        <v>SANS ÉTIQUETTE</v>
      </c>
      <c r="E2" s="11" t="str">
        <f>IFERROR(__xludf.DUMMYFUNCTION("IF(C2="""", """", GOOGLETRANSLATE(C2, ""en"", ""ht""))"),"PA GEN_ETIKÈT")</f>
        <v>PA GEN_ETIKÈT</v>
      </c>
      <c r="F2" s="11"/>
      <c r="G2" s="11" t="b">
        <f>FALSE()</f>
        <v>0</v>
      </c>
      <c r="H2" s="11"/>
      <c r="I2" s="11"/>
      <c r="J2" s="11"/>
      <c r="K2" s="11"/>
      <c r="L2" s="11"/>
      <c r="M2" s="11"/>
      <c r="N2" s="11"/>
      <c r="O2" s="11" t="str">
        <f>IFERROR(__xludf.DUMMYFUNCTION("IF(N2="""", """", GOOGLETRANSLATE(N2, ""en"", ""fr""))"),"")</f>
        <v/>
      </c>
      <c r="P2" s="11" t="str">
        <f>IFERROR(__xludf.DUMMYFUNCTION("IF(N2="""", """", GOOGLETRANSLATE(N2, ""en"", ""ht""))"),"")</f>
        <v/>
      </c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</row>
    <row r="3" ht="14.25" customHeight="1">
      <c r="A3" s="9" t="s">
        <v>29</v>
      </c>
      <c r="B3" s="9" t="s">
        <v>44</v>
      </c>
      <c r="C3" s="11" t="s">
        <v>33</v>
      </c>
      <c r="D3" s="11" t="str">
        <f>IFERROR(__xludf.DUMMYFUNCTION("IF(C3="""", """", GOOGLETRANSLATE(C3, ""en"", ""fr""))"),"SANS ÉTIQUETTE")</f>
        <v>SANS ÉTIQUETTE</v>
      </c>
      <c r="E3" s="11" t="str">
        <f>IFERROR(__xludf.DUMMYFUNCTION("IF(C3="""", """", GOOGLETRANSLATE(C3, ""en"", ""ht""))"),"PA GEN_ETIKÈT")</f>
        <v>PA GEN_ETIKÈT</v>
      </c>
      <c r="F3" s="11"/>
      <c r="G3" s="11"/>
      <c r="H3" s="11"/>
      <c r="I3" s="11"/>
      <c r="J3" s="11"/>
      <c r="K3" s="11"/>
      <c r="L3" s="11"/>
      <c r="M3" s="11"/>
      <c r="N3" s="11"/>
      <c r="O3" s="11" t="str">
        <f>IFERROR(__xludf.DUMMYFUNCTION("IF(N3="""", """", GOOGLETRANSLATE(N3, ""en"", ""fr""))"),"")</f>
        <v/>
      </c>
      <c r="P3" s="11" t="str">
        <f>IFERROR(__xludf.DUMMYFUNCTION("IF(N3="""", """", GOOGLETRANSLATE(N3, ""en"", ""ht""))"),"")</f>
        <v/>
      </c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</row>
    <row r="4" ht="14.25" customHeight="1">
      <c r="A4" s="9" t="s">
        <v>47</v>
      </c>
      <c r="B4" s="9" t="s">
        <v>48</v>
      </c>
      <c r="C4" s="11" t="s">
        <v>33</v>
      </c>
      <c r="D4" s="11" t="str">
        <f>IFERROR(__xludf.DUMMYFUNCTION("IF(C4="""", """", GOOGLETRANSLATE(C4, ""en"", ""fr""))"),"SANS ÉTIQUETTE")</f>
        <v>SANS ÉTIQUETTE</v>
      </c>
      <c r="E4" s="11" t="str">
        <f>IFERROR(__xludf.DUMMYFUNCTION("IF(C4="""", """", GOOGLETRANSLATE(C4, ""en"", ""ht""))"),"PA GEN_ETIKÈT")</f>
        <v>PA GEN_ETIKÈT</v>
      </c>
      <c r="F4" s="11"/>
      <c r="G4" s="11"/>
      <c r="H4" s="11"/>
      <c r="I4" s="11"/>
      <c r="J4" s="11"/>
      <c r="K4" s="11"/>
      <c r="L4" s="11"/>
      <c r="M4" s="11"/>
      <c r="N4" s="11"/>
      <c r="O4" s="11" t="str">
        <f>IFERROR(__xludf.DUMMYFUNCTION("IF(N4="""", """", GOOGLETRANSLATE(N4, ""en"", ""fr""))"),"")</f>
        <v/>
      </c>
      <c r="P4" s="11" t="str">
        <f>IFERROR(__xludf.DUMMYFUNCTION("IF(N4="""", """", GOOGLETRANSLATE(N4, ""en"", ""ht""))"),"")</f>
        <v/>
      </c>
      <c r="Q4" s="11"/>
      <c r="R4" s="11" t="s">
        <v>54</v>
      </c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</row>
    <row r="5" ht="14.25" customHeight="1">
      <c r="A5" s="9" t="s">
        <v>47</v>
      </c>
      <c r="B5" s="9" t="s">
        <v>55</v>
      </c>
      <c r="C5" s="11" t="s">
        <v>33</v>
      </c>
      <c r="D5" s="11" t="str">
        <f>IFERROR(__xludf.DUMMYFUNCTION("IF(C5="""", """", GOOGLETRANSLATE(C5, ""en"", ""fr""))"),"SANS ÉTIQUETTE")</f>
        <v>SANS ÉTIQUETTE</v>
      </c>
      <c r="E5" s="11" t="str">
        <f>IFERROR(__xludf.DUMMYFUNCTION("IF(C5="""", """", GOOGLETRANSLATE(C5, ""en"", ""ht""))"),"PA GEN_ETIKÈT")</f>
        <v>PA GEN_ETIKÈT</v>
      </c>
      <c r="F5" s="11"/>
      <c r="G5" s="11"/>
      <c r="H5" s="11"/>
      <c r="I5" s="11"/>
      <c r="J5" s="11"/>
      <c r="K5" s="11"/>
      <c r="L5" s="11"/>
      <c r="M5" s="11"/>
      <c r="N5" s="11"/>
      <c r="O5" s="11" t="str">
        <f>IFERROR(__xludf.DUMMYFUNCTION("IF(N5="""", """", GOOGLETRANSLATE(N5, ""en"", ""fr""))"),"")</f>
        <v/>
      </c>
      <c r="P5" s="11" t="str">
        <f>IFERROR(__xludf.DUMMYFUNCTION("IF(N5="""", """", GOOGLETRANSLATE(N5, ""en"", ""ht""))"),"")</f>
        <v/>
      </c>
      <c r="Q5" s="11"/>
      <c r="R5" s="11" t="s">
        <v>59</v>
      </c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</row>
    <row r="6" ht="14.25" customHeight="1">
      <c r="A6" s="9" t="s">
        <v>47</v>
      </c>
      <c r="B6" s="9" t="s">
        <v>3</v>
      </c>
      <c r="C6" s="11" t="s">
        <v>33</v>
      </c>
      <c r="D6" s="11" t="str">
        <f>IFERROR(__xludf.DUMMYFUNCTION("IF(C6="""", """", GOOGLETRANSLATE(C6, ""en"", ""fr""))"),"SANS ÉTIQUETTE")</f>
        <v>SANS ÉTIQUETTE</v>
      </c>
      <c r="E6" s="11" t="str">
        <f>IFERROR(__xludf.DUMMYFUNCTION("IF(C6="""", """", GOOGLETRANSLATE(C6, ""en"", ""ht""))"),"PA GEN_ETIKÈT")</f>
        <v>PA GEN_ETIKÈT</v>
      </c>
      <c r="F6" s="11"/>
      <c r="G6" s="11"/>
      <c r="H6" s="11"/>
      <c r="I6" s="11"/>
      <c r="J6" s="11"/>
      <c r="K6" s="11"/>
      <c r="L6" s="11"/>
      <c r="M6" s="11"/>
      <c r="N6" s="11"/>
      <c r="O6" s="11" t="str">
        <f>IFERROR(__xludf.DUMMYFUNCTION("IF(N6="""", """", GOOGLETRANSLATE(N6, ""en"", ""fr""))"),"")</f>
        <v/>
      </c>
      <c r="P6" s="11" t="str">
        <f>IFERROR(__xludf.DUMMYFUNCTION("IF(N6="""", """", GOOGLETRANSLATE(N6, ""en"", ""ht""))"),"")</f>
        <v/>
      </c>
      <c r="Q6" s="11"/>
      <c r="R6" s="11" t="s">
        <v>62</v>
      </c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</row>
    <row r="7" ht="14.25" customHeight="1">
      <c r="A7" s="9" t="s">
        <v>63</v>
      </c>
      <c r="B7" s="9"/>
      <c r="C7" s="11"/>
      <c r="D7" s="11" t="str">
        <f>IFERROR(__xludf.DUMMYFUNCTION("IF(C7="""", """", GOOGLETRANSLATE(C7, ""en"", ""fr""))"),"")</f>
        <v/>
      </c>
      <c r="E7" s="11" t="str">
        <f>IFERROR(__xludf.DUMMYFUNCTION("IF(C7="""", """", GOOGLETRANSLATE(C7, ""en"", ""ht""))"),"")</f>
        <v/>
      </c>
      <c r="F7" s="11"/>
      <c r="G7" s="11"/>
      <c r="H7" s="11"/>
      <c r="I7" s="11"/>
      <c r="J7" s="11"/>
      <c r="K7" s="11"/>
      <c r="L7" s="11"/>
      <c r="M7" s="11"/>
      <c r="N7" s="11"/>
      <c r="O7" s="11" t="str">
        <f>IFERROR(__xludf.DUMMYFUNCTION("IF(N7="""", """", GOOGLETRANSLATE(N7, ""en"", ""fr""))"),"")</f>
        <v/>
      </c>
      <c r="P7" s="11" t="str">
        <f>IFERROR(__xludf.DUMMYFUNCTION("IF(N7="""", """", GOOGLETRANSLATE(N7, ""en"", ""ht""))"),"")</f>
        <v/>
      </c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</row>
    <row r="8" ht="14.25" customHeight="1">
      <c r="A8" s="9" t="s">
        <v>63</v>
      </c>
      <c r="B8" s="9"/>
      <c r="C8" s="11"/>
      <c r="D8" s="11" t="str">
        <f>IFERROR(__xludf.DUMMYFUNCTION("IF(C8="""", """", GOOGLETRANSLATE(C8, ""en"", ""fr""))"),"")</f>
        <v/>
      </c>
      <c r="E8" s="11" t="str">
        <f>IFERROR(__xludf.DUMMYFUNCTION("IF(C8="""", """", GOOGLETRANSLATE(C8, ""en"", ""ht""))"),"")</f>
        <v/>
      </c>
      <c r="F8" s="11"/>
      <c r="G8" s="11"/>
      <c r="H8" s="11"/>
      <c r="I8" s="11"/>
      <c r="J8" s="11"/>
      <c r="K8" s="11"/>
      <c r="L8" s="11"/>
      <c r="M8" s="11"/>
      <c r="N8" s="11"/>
      <c r="O8" s="11" t="str">
        <f>IFERROR(__xludf.DUMMYFUNCTION("IF(N8="""", """", GOOGLETRANSLATE(N8, ""en"", ""fr""))"),"")</f>
        <v/>
      </c>
      <c r="P8" s="11" t="str">
        <f>IFERROR(__xludf.DUMMYFUNCTION("IF(N8="""", """", GOOGLETRANSLATE(N8, ""en"", ""ht""))"),"")</f>
        <v/>
      </c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</row>
    <row r="9" ht="14.25" customHeight="1">
      <c r="A9" s="4"/>
      <c r="B9" s="4"/>
      <c r="C9" s="4"/>
      <c r="D9" s="10" t="str">
        <f>IFERROR(__xludf.DUMMYFUNCTION("IF(C9="""", """", GOOGLETRANSLATE(C9, ""en"", ""fr""))"),"")</f>
        <v/>
      </c>
      <c r="E9" s="19" t="str">
        <f>IFERROR(__xludf.DUMMYFUNCTION("IF(C9="""", """", GOOGLETRANSLATE(C9, ""en"", ""ht""))"),"")</f>
        <v/>
      </c>
      <c r="F9" s="4"/>
      <c r="G9" s="4"/>
      <c r="H9" s="4"/>
      <c r="I9" s="4"/>
      <c r="J9" s="4"/>
      <c r="K9" s="4"/>
      <c r="L9" s="4"/>
      <c r="M9" s="4"/>
      <c r="N9" s="4"/>
      <c r="O9" s="10" t="str">
        <f>IFERROR(__xludf.DUMMYFUNCTION("IF(N9="""", """", GOOGLETRANSLATE(N9, ""en"", ""fr""))"),"")</f>
        <v/>
      </c>
      <c r="P9" s="19" t="str">
        <f>IFERROR(__xludf.DUMMYFUNCTION("IF(N9="""", """", GOOGLETRANSLATE(N9, ""en"", ""ht""))"),"")</f>
        <v/>
      </c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 ht="14.25" customHeight="1">
      <c r="A10" s="20" t="s">
        <v>29</v>
      </c>
      <c r="B10" s="20" t="s">
        <v>72</v>
      </c>
      <c r="C10" s="10" t="s">
        <v>33</v>
      </c>
      <c r="D10" s="10" t="str">
        <f>IFERROR(__xludf.DUMMYFUNCTION("IF(C10="""", """", GOOGLETRANSLATE(C10, ""en"", ""fr""))"),"SANS ÉTIQUETTE")</f>
        <v>SANS ÉTIQUETTE</v>
      </c>
      <c r="E10" s="10" t="str">
        <f>IFERROR(__xludf.DUMMYFUNCTION("IF(C10="""", """", GOOGLETRANSLATE(C10, ""en"", ""ht""))"),"PA GEN_ETIKÈT")</f>
        <v>PA GEN_ETIKÈT</v>
      </c>
      <c r="F10" s="10"/>
      <c r="G10" s="10"/>
      <c r="H10" s="10" t="s">
        <v>74</v>
      </c>
      <c r="I10" s="10"/>
      <c r="J10" s="10"/>
      <c r="K10" s="10"/>
      <c r="L10" s="10"/>
      <c r="M10" s="10"/>
      <c r="N10" s="10"/>
      <c r="O10" s="10" t="str">
        <f>IFERROR(__xludf.DUMMYFUNCTION("IF(N10="""", """", GOOGLETRANSLATE(N10, ""en"", ""fr""))"),"")</f>
        <v/>
      </c>
      <c r="P10" s="10" t="str">
        <f>IFERROR(__xludf.DUMMYFUNCTION("IF(N10="""", """", GOOGLETRANSLATE(N10, ""en"", ""ht""))"),"")</f>
        <v/>
      </c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</row>
    <row r="11" ht="13.5" customHeight="1">
      <c r="A11" s="20" t="s">
        <v>76</v>
      </c>
      <c r="B11" s="20" t="s">
        <v>77</v>
      </c>
      <c r="C11" s="10" t="s">
        <v>78</v>
      </c>
      <c r="D11" s="10" t="str">
        <f>IFERROR(__xludf.DUMMYFUNCTION("IF(C11="""", """", GOOGLETRANSLATE(C11, ""en"", ""fr""))"),"Définir le contact principal")</f>
        <v>Définir le contact principal</v>
      </c>
      <c r="E11" s="10" t="str">
        <f>IFERROR(__xludf.DUMMYFUNCTION("IF(C11="""", """", GOOGLETRANSLATE(C11, ""en"", ""ht""))"),"Mete Kontak Prensipal la")</f>
        <v>Mete Kontak Prensipal la</v>
      </c>
      <c r="F11" s="10" t="s">
        <v>82</v>
      </c>
      <c r="G11" s="10"/>
      <c r="H11" s="10" t="s">
        <v>83</v>
      </c>
      <c r="I11" s="10"/>
      <c r="J11" s="10"/>
      <c r="K11" s="10"/>
      <c r="L11" s="10"/>
      <c r="M11" s="10"/>
      <c r="N11" s="10"/>
      <c r="O11" s="10" t="str">
        <f>IFERROR(__xludf.DUMMYFUNCTION("IF(N11="""", """", GOOGLETRANSLATE(N11, ""en"", ""fr""))"),"")</f>
        <v/>
      </c>
      <c r="P11" s="10" t="str">
        <f>IFERROR(__xludf.DUMMYFUNCTION("IF(N11="""", """", GOOGLETRANSLATE(N11, ""en"", ""ht""))"),"")</f>
        <v/>
      </c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</row>
    <row r="12" ht="13.5" customHeight="1">
      <c r="A12" s="20" t="s">
        <v>47</v>
      </c>
      <c r="B12" s="20" t="s">
        <v>86</v>
      </c>
      <c r="C12" s="10" t="s">
        <v>87</v>
      </c>
      <c r="D12" s="10" t="str">
        <f>IFERROR(__xludf.DUMMYFUNCTION("IF(C12="""", """", GOOGLETRANSLATE(C12, ""en"", ""fr""))"),"Sélectionnez le contact principal")</f>
        <v>Sélectionnez le contact principal</v>
      </c>
      <c r="E12" s="10" t="str">
        <f>IFERROR(__xludf.DUMMYFUNCTION("IF(C12="""", """", GOOGLETRANSLATE(C12, ""en"", ""ht""))"),"Chwazi Kontak Prensipal la")</f>
        <v>Chwazi Kontak Prensipal la</v>
      </c>
      <c r="F12" s="10" t="s">
        <v>82</v>
      </c>
      <c r="G12" s="10" t="s">
        <v>88</v>
      </c>
      <c r="H12" s="10" t="s">
        <v>89</v>
      </c>
      <c r="I12" s="10"/>
      <c r="J12" s="10"/>
      <c r="K12" s="10"/>
      <c r="L12" s="10"/>
      <c r="M12" s="10"/>
      <c r="N12" s="10"/>
      <c r="O12" s="10" t="str">
        <f>IFERROR(__xludf.DUMMYFUNCTION("IF(N12="""", """", GOOGLETRANSLATE(N12, ""en"", ""fr""))"),"")</f>
        <v/>
      </c>
      <c r="P12" s="10" t="str">
        <f>IFERROR(__xludf.DUMMYFUNCTION("IF(N12="""", """", GOOGLETRANSLATE(N12, ""en"", ""ht""))"),"")</f>
        <v/>
      </c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</row>
    <row r="13" ht="14.25" customHeight="1">
      <c r="A13" s="20" t="s">
        <v>47</v>
      </c>
      <c r="B13" s="20" t="s">
        <v>3</v>
      </c>
      <c r="C13" s="10" t="s">
        <v>33</v>
      </c>
      <c r="D13" s="10" t="str">
        <f>IFERROR(__xludf.DUMMYFUNCTION("IF(C13="""", """", GOOGLETRANSLATE(C13, ""en"", ""fr""))"),"SANS ÉTIQUETTE")</f>
        <v>SANS ÉTIQUETTE</v>
      </c>
      <c r="E13" s="10" t="str">
        <f>IFERROR(__xludf.DUMMYFUNCTION("IF(C13="""", """", GOOGLETRANSLATE(C13, ""en"", ""ht""))"),"PA GEN_ETIKÈT")</f>
        <v>PA GEN_ETIKÈT</v>
      </c>
      <c r="F13" s="10"/>
      <c r="G13" s="10"/>
      <c r="H13" s="10" t="s">
        <v>94</v>
      </c>
      <c r="I13" s="10"/>
      <c r="J13" s="10"/>
      <c r="K13" s="10"/>
      <c r="L13" s="10"/>
      <c r="M13" s="10"/>
      <c r="N13" s="10"/>
      <c r="O13" s="10" t="str">
        <f>IFERROR(__xludf.DUMMYFUNCTION("IF(N13="""", """", GOOGLETRANSLATE(N13, ""en"", ""fr""))"),"")</f>
        <v/>
      </c>
      <c r="P13" s="10" t="str">
        <f>IFERROR(__xludf.DUMMYFUNCTION("IF(N13="""", """", GOOGLETRANSLATE(N13, ""en"", ""ht""))"),"")</f>
        <v/>
      </c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</row>
    <row r="14" ht="14.25" customHeight="1">
      <c r="A14" s="20" t="s">
        <v>97</v>
      </c>
      <c r="B14" s="20" t="s">
        <v>98</v>
      </c>
      <c r="C14" s="10"/>
      <c r="D14" s="10" t="str">
        <f>IFERROR(__xludf.DUMMYFUNCTION("IF(C14="""", """", GOOGLETRANSLATE(C14, ""en"", ""fr""))"),"")</f>
        <v/>
      </c>
      <c r="E14" s="10" t="str">
        <f>IFERROR(__xludf.DUMMYFUNCTION("IF(C14="""", """", GOOGLETRANSLATE(C14, ""en"", ""ht""))"),"")</f>
        <v/>
      </c>
      <c r="F14" s="10"/>
      <c r="G14" s="10"/>
      <c r="H14" s="10"/>
      <c r="I14" s="10"/>
      <c r="J14" s="10"/>
      <c r="K14" s="10"/>
      <c r="L14" s="21" t="s">
        <v>99</v>
      </c>
      <c r="M14" s="10"/>
      <c r="N14" s="10"/>
      <c r="O14" s="10" t="str">
        <f>IFERROR(__xludf.DUMMYFUNCTION("IF(N14="""", """", GOOGLETRANSLATE(N14, ""en"", ""fr""))"),"")</f>
        <v/>
      </c>
      <c r="P14" s="10" t="str">
        <f>IFERROR(__xludf.DUMMYFUNCTION("IF(N14="""", """", GOOGLETRANSLATE(N14, ""en"", ""ht""))"),"")</f>
        <v/>
      </c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</row>
    <row r="15" ht="14.25" customHeight="1">
      <c r="A15" s="20" t="s">
        <v>102</v>
      </c>
      <c r="B15" s="20" t="s">
        <v>103</v>
      </c>
      <c r="C15" s="10" t="s">
        <v>33</v>
      </c>
      <c r="D15" s="10" t="str">
        <f>IFERROR(__xludf.DUMMYFUNCTION("IF(C15="""", """", GOOGLETRANSLATE(C15, ""en"", ""fr""))"),"SANS ÉTIQUETTE")</f>
        <v>SANS ÉTIQUETTE</v>
      </c>
      <c r="E15" s="10" t="str">
        <f>IFERROR(__xludf.DUMMYFUNCTION("IF(C15="""", """", GOOGLETRANSLATE(C15, ""en"", ""ht""))"),"PA GEN_ETIKÈT")</f>
        <v>PA GEN_ETIKÈT</v>
      </c>
      <c r="F15" s="10"/>
      <c r="G15" s="10" t="s">
        <v>104</v>
      </c>
      <c r="H15" s="10" t="s">
        <v>94</v>
      </c>
      <c r="I15" s="10"/>
      <c r="J15" s="10"/>
      <c r="K15" s="10"/>
      <c r="L15" s="10" t="s">
        <v>105</v>
      </c>
      <c r="M15" s="10"/>
      <c r="N15" s="10"/>
      <c r="O15" s="10" t="str">
        <f>IFERROR(__xludf.DUMMYFUNCTION("IF(N15="""", """", GOOGLETRANSLATE(N15, ""en"", ""fr""))"),"")</f>
        <v/>
      </c>
      <c r="P15" s="10" t="str">
        <f>IFERROR(__xludf.DUMMYFUNCTION("IF(N15="""", """", GOOGLETRANSLATE(N15, ""en"", ""ht""))"),"")</f>
        <v/>
      </c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</row>
    <row r="16" ht="14.25" customHeight="1">
      <c r="A16" s="20" t="s">
        <v>97</v>
      </c>
      <c r="B16" s="20" t="s">
        <v>106</v>
      </c>
      <c r="C16" s="10"/>
      <c r="D16" s="10" t="str">
        <f>IFERROR(__xludf.DUMMYFUNCTION("IF(C16="""", """", GOOGLETRANSLATE(C16, ""en"", ""fr""))"),"")</f>
        <v/>
      </c>
      <c r="E16" s="10" t="str">
        <f>IFERROR(__xludf.DUMMYFUNCTION("IF(C16="""", """", GOOGLETRANSLATE(C16, ""en"", ""ht""))"),"")</f>
        <v/>
      </c>
      <c r="F16" s="10"/>
      <c r="G16" s="10"/>
      <c r="H16" s="10"/>
      <c r="I16" s="10"/>
      <c r="J16" s="10"/>
      <c r="K16" s="21"/>
      <c r="L16" s="21" t="s">
        <v>107</v>
      </c>
      <c r="M16" s="10"/>
      <c r="N16" s="10"/>
      <c r="O16" s="10" t="str">
        <f>IFERROR(__xludf.DUMMYFUNCTION("IF(N16="""", """", GOOGLETRANSLATE(N16, ""en"", ""fr""))"),"")</f>
        <v/>
      </c>
      <c r="P16" s="10" t="str">
        <f>IFERROR(__xludf.DUMMYFUNCTION("IF(N16="""", """", GOOGLETRANSLATE(N16, ""en"", ""ht""))"),"")</f>
        <v/>
      </c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</row>
    <row r="17" ht="14.25" customHeight="1">
      <c r="A17" s="20" t="s">
        <v>47</v>
      </c>
      <c r="B17" s="20" t="s">
        <v>108</v>
      </c>
      <c r="C17" s="10" t="s">
        <v>109</v>
      </c>
      <c r="D17" s="10" t="str">
        <f>IFERROR(__xludf.DUMMYFUNCTION("IF(C17="""", """", GOOGLETRANSLATE(C17, ""en"", ""fr""))"),"${custom_place_name_label}")</f>
        <v>${custom_place_name_label}</v>
      </c>
      <c r="E17" s="10" t="str">
        <f>IFERROR(__xludf.DUMMYFUNCTION("IF(C17="""", """", GOOGLETRANSLATE(C17, ""en"", ""ht""))"),"${custom_place_name_label}")</f>
        <v>${custom_place_name_label}</v>
      </c>
      <c r="F17" s="10" t="s">
        <v>82</v>
      </c>
      <c r="G17" s="10" t="s">
        <v>104</v>
      </c>
      <c r="H17" s="10"/>
      <c r="I17" s="10"/>
      <c r="J17" s="10"/>
      <c r="K17" s="10"/>
      <c r="L17" s="10"/>
      <c r="M17" s="10"/>
      <c r="N17" s="10"/>
      <c r="O17" s="10" t="str">
        <f>IFERROR(__xludf.DUMMYFUNCTION("IF(N17="""", """", GOOGLETRANSLATE(N17, ""en"", ""fr""))"),"")</f>
        <v/>
      </c>
      <c r="P17" s="10" t="str">
        <f>IFERROR(__xludf.DUMMYFUNCTION("IF(N17="""", """", GOOGLETRANSLATE(N17, ""en"", ""ht""))"),"")</f>
        <v/>
      </c>
      <c r="Q17" s="10"/>
      <c r="R17" s="10" t="s">
        <v>110</v>
      </c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</row>
    <row r="18" ht="14.25" customHeight="1">
      <c r="A18" s="20" t="s">
        <v>111</v>
      </c>
      <c r="B18" s="20" t="s">
        <v>79</v>
      </c>
      <c r="C18" s="10" t="s">
        <v>112</v>
      </c>
      <c r="D18" s="10" t="str">
        <f>IFERROR(__xludf.DUMMYFUNCTION("IF(C18="""", """", GOOGLETRANSLATE(C18, ""en"", ""fr""))"),"Entrez le nom de ce lieu")</f>
        <v>Entrez le nom de ce lieu</v>
      </c>
      <c r="E18" s="10" t="str">
        <f>IFERROR(__xludf.DUMMYFUNCTION("IF(C18="""", """", GOOGLETRANSLATE(C18, ""en"", ""ht""))"),"Antre non kote sa a")</f>
        <v>Antre non kote sa a</v>
      </c>
      <c r="F18" s="10"/>
      <c r="G18" s="10"/>
      <c r="H18" s="10" t="s">
        <v>94</v>
      </c>
      <c r="I18" s="10"/>
      <c r="J18" s="10"/>
      <c r="K18" s="10"/>
      <c r="L18" s="21"/>
      <c r="M18" s="10"/>
      <c r="N18" s="10"/>
      <c r="O18" s="10" t="str">
        <f>IFERROR(__xludf.DUMMYFUNCTION("IF(N18="""", """", GOOGLETRANSLATE(N18, ""en"", ""fr""))"),"")</f>
        <v/>
      </c>
      <c r="P18" s="10" t="str">
        <f>IFERROR(__xludf.DUMMYFUNCTION("IF(N18="""", """", GOOGLETRANSLATE(N18, ""en"", ""ht""))"),"")</f>
        <v/>
      </c>
      <c r="Q18" s="21" t="s">
        <v>113</v>
      </c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</row>
    <row r="19" ht="14.25" customHeight="1">
      <c r="A19" s="20" t="s">
        <v>97</v>
      </c>
      <c r="B19" s="20" t="s">
        <v>114</v>
      </c>
      <c r="C19" s="10"/>
      <c r="D19" s="10" t="str">
        <f>IFERROR(__xludf.DUMMYFUNCTION("IF(C19="""", """", GOOGLETRANSLATE(C19, ""en"", ""fr""))"),"")</f>
        <v/>
      </c>
      <c r="E19" s="10" t="str">
        <f>IFERROR(__xludf.DUMMYFUNCTION("IF(C19="""", """", GOOGLETRANSLATE(C19, ""en"", ""ht""))"),"")</f>
        <v/>
      </c>
      <c r="F19" s="10"/>
      <c r="G19" s="10"/>
      <c r="H19" s="10"/>
      <c r="I19" s="10"/>
      <c r="J19" s="10"/>
      <c r="K19" s="10"/>
      <c r="L19" s="21" t="s">
        <v>115</v>
      </c>
      <c r="M19" s="10"/>
      <c r="N19" s="10"/>
      <c r="O19" s="10" t="str">
        <f>IFERROR(__xludf.DUMMYFUNCTION("IF(N19="""", """", GOOGLETRANSLATE(N19, ""en"", ""fr""))"),"")</f>
        <v/>
      </c>
      <c r="P19" s="10" t="str">
        <f>IFERROR(__xludf.DUMMYFUNCTION("IF(N19="""", """", GOOGLETRANSLATE(N19, ""en"", ""ht""))"),"")</f>
        <v/>
      </c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</row>
    <row r="20" ht="14.25" customHeight="1">
      <c r="A20" s="20" t="s">
        <v>116</v>
      </c>
      <c r="B20" s="20" t="s">
        <v>92</v>
      </c>
      <c r="C20" s="10" t="s">
        <v>33</v>
      </c>
      <c r="D20" s="10" t="str">
        <f>IFERROR(__xludf.DUMMYFUNCTION("IF(C20="""", """", GOOGLETRANSLATE(C20, ""en"", ""fr""))"),"SANS ÉTIQUETTE")</f>
        <v>SANS ÉTIQUETTE</v>
      </c>
      <c r="E20" s="10" t="str">
        <f>IFERROR(__xludf.DUMMYFUNCTION("IF(C20="""", """", GOOGLETRANSLATE(C20, ""en"", ""ht""))"),"PA GEN_ETIKÈT")</f>
        <v>PA GEN_ETIKÈT</v>
      </c>
      <c r="F20" s="10"/>
      <c r="G20" s="10"/>
      <c r="H20" s="10" t="s">
        <v>94</v>
      </c>
      <c r="I20" s="10"/>
      <c r="J20" s="10"/>
      <c r="K20" s="10"/>
      <c r="L20" s="10"/>
      <c r="M20" s="10"/>
      <c r="N20" s="10"/>
      <c r="O20" s="10" t="str">
        <f>IFERROR(__xludf.DUMMYFUNCTION("IF(N20="""", """", GOOGLETRANSLATE(N20, ""en"", ""fr""))"),"")</f>
        <v/>
      </c>
      <c r="P20" s="10" t="str">
        <f>IFERROR(__xludf.DUMMYFUNCTION("IF(N20="""", """", GOOGLETRANSLATE(N20, ""en"", ""ht""))"),"")</f>
        <v/>
      </c>
      <c r="Q20" s="21" t="s">
        <v>113</v>
      </c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</row>
    <row r="21" ht="14.25" customHeight="1">
      <c r="A21" s="20" t="s">
        <v>97</v>
      </c>
      <c r="B21" s="20" t="s">
        <v>117</v>
      </c>
      <c r="C21" s="10"/>
      <c r="D21" s="10" t="str">
        <f>IFERROR(__xludf.DUMMYFUNCTION("IF(C21="""", """", GOOGLETRANSLATE(C21, ""en"", ""fr""))"),"")</f>
        <v/>
      </c>
      <c r="E21" s="10" t="str">
        <f>IFERROR(__xludf.DUMMYFUNCTION("IF(C21="""", """", GOOGLETRANSLATE(C21, ""en"", ""ht""))"),"")</f>
        <v/>
      </c>
      <c r="F21" s="10"/>
      <c r="G21" s="10"/>
      <c r="H21" s="10"/>
      <c r="I21" s="10"/>
      <c r="J21" s="10"/>
      <c r="K21" s="10"/>
      <c r="L21" s="21" t="s">
        <v>118</v>
      </c>
      <c r="M21" s="10"/>
      <c r="N21" s="10"/>
      <c r="O21" s="10" t="str">
        <f>IFERROR(__xludf.DUMMYFUNCTION("IF(N21="""", """", GOOGLETRANSLATE(N21, ""en"", ""fr""))"),"")</f>
        <v/>
      </c>
      <c r="P21" s="10" t="str">
        <f>IFERROR(__xludf.DUMMYFUNCTION("IF(N21="""", """", GOOGLETRANSLATE(N21, ""en"", ""ht""))"),"")</f>
        <v/>
      </c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</row>
    <row r="22" ht="14.25" customHeight="1">
      <c r="A22" s="20" t="s">
        <v>63</v>
      </c>
      <c r="B22" s="20"/>
      <c r="C22" s="10"/>
      <c r="D22" s="10" t="str">
        <f>IFERROR(__xludf.DUMMYFUNCTION("IF(C22="""", """", GOOGLETRANSLATE(C22, ""en"", ""fr""))"),"")</f>
        <v/>
      </c>
      <c r="E22" s="10" t="str">
        <f>IFERROR(__xludf.DUMMYFUNCTION("IF(C22="""", """", GOOGLETRANSLATE(C22, ""en"", ""ht""))"),"")</f>
        <v/>
      </c>
      <c r="F22" s="10"/>
      <c r="G22" s="10"/>
      <c r="H22" s="10"/>
      <c r="I22" s="10"/>
      <c r="J22" s="10"/>
      <c r="K22" s="10"/>
      <c r="L22" s="10"/>
      <c r="M22" s="10"/>
      <c r="N22" s="10"/>
      <c r="O22" s="10" t="str">
        <f>IFERROR(__xludf.DUMMYFUNCTION("IF(N22="""", """", GOOGLETRANSLATE(N22, ""en"", ""fr""))"),"")</f>
        <v/>
      </c>
      <c r="P22" s="10" t="str">
        <f>IFERROR(__xludf.DUMMYFUNCTION("IF(N22="""", """", GOOGLETRANSLATE(N22, ""en"", ""ht""))"),"")</f>
        <v/>
      </c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</row>
    <row r="23" ht="14.25" customHeight="1">
      <c r="A23" s="4"/>
      <c r="B23" s="4"/>
      <c r="C23" s="4"/>
      <c r="D23" s="10" t="str">
        <f>IFERROR(__xludf.DUMMYFUNCTION("IF(C23="""", """", GOOGLETRANSLATE(C23, ""en"", ""fr""))"),"")</f>
        <v/>
      </c>
      <c r="E23" s="19" t="str">
        <f>IFERROR(__xludf.DUMMYFUNCTION("IF(C23="""", """", GOOGLETRANSLATE(C23, ""en"", ""ht""))"),"")</f>
        <v/>
      </c>
      <c r="F23" s="4"/>
      <c r="G23" s="4"/>
      <c r="H23" s="4"/>
      <c r="I23" s="4"/>
      <c r="J23" s="4"/>
      <c r="K23" s="4"/>
      <c r="L23" s="4"/>
      <c r="M23" s="4"/>
      <c r="N23" s="4"/>
      <c r="O23" s="10" t="str">
        <f>IFERROR(__xludf.DUMMYFUNCTION("IF(N23="""", """", GOOGLETRANSLATE(N23, ""en"", ""fr""))"),"")</f>
        <v/>
      </c>
      <c r="P23" s="19" t="str">
        <f>IFERROR(__xludf.DUMMYFUNCTION("IF(N23="""", """", GOOGLETRANSLATE(N23, ""en"", ""ht""))"),"")</f>
        <v/>
      </c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</row>
    <row r="24" ht="14.25" customHeight="1">
      <c r="A24" s="20" t="s">
        <v>29</v>
      </c>
      <c r="B24" s="20" t="s">
        <v>41</v>
      </c>
      <c r="C24" s="10" t="s">
        <v>119</v>
      </c>
      <c r="D24" s="10" t="str">
        <f>IFERROR(__xludf.DUMMYFUNCTION("IF(C24="""", """", GOOGLETRANSLATE(C24, ""en"", ""fr""))"),"Nouvelle personne")</f>
        <v>Nouvelle personne</v>
      </c>
      <c r="E24" s="10" t="str">
        <f>IFERROR(__xludf.DUMMYFUNCTION("IF(C24="""", """", GOOGLETRANSLATE(C24, ""en"", ""ht""))"),"Nouvo Moun")</f>
        <v>Nouvo Moun</v>
      </c>
      <c r="F24" s="10"/>
      <c r="G24" s="10" t="s">
        <v>120</v>
      </c>
      <c r="H24" s="10" t="s">
        <v>74</v>
      </c>
      <c r="I24" s="10"/>
      <c r="J24" s="10"/>
      <c r="K24" s="10"/>
      <c r="L24" s="10"/>
      <c r="M24" s="10"/>
      <c r="N24" s="10"/>
      <c r="O24" s="10" t="str">
        <f>IFERROR(__xludf.DUMMYFUNCTION("IF(N24="""", """", GOOGLETRANSLATE(N24, ""en"", ""fr""))"),"")</f>
        <v/>
      </c>
      <c r="P24" s="10" t="str">
        <f>IFERROR(__xludf.DUMMYFUNCTION("IF(N24="""", """", GOOGLETRANSLATE(N24, ""en"", ""ht""))"),"")</f>
        <v/>
      </c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</row>
    <row r="25" ht="14.25" customHeight="1">
      <c r="A25" s="20" t="s">
        <v>94</v>
      </c>
      <c r="B25" s="20" t="s">
        <v>121</v>
      </c>
      <c r="C25" s="10" t="s">
        <v>33</v>
      </c>
      <c r="D25" s="10" t="str">
        <f>IFERROR(__xludf.DUMMYFUNCTION("IF(C25="""", """", GOOGLETRANSLATE(C25, ""en"", ""fr""))"),"SANS ÉTIQUETTE")</f>
        <v>SANS ÉTIQUETTE</v>
      </c>
      <c r="E25" s="10" t="str">
        <f>IFERROR(__xludf.DUMMYFUNCTION("IF(C25="""", """", GOOGLETRANSLATE(C25, ""en"", ""ht""))"),"PA GEN_ETIKÈT")</f>
        <v>PA GEN_ETIKÈT</v>
      </c>
      <c r="F25" s="10"/>
      <c r="G25" s="10"/>
      <c r="H25" s="10"/>
      <c r="I25" s="10"/>
      <c r="J25" s="10"/>
      <c r="K25" s="10"/>
      <c r="L25" s="10"/>
      <c r="M25" s="10"/>
      <c r="N25" s="10"/>
      <c r="O25" s="10" t="str">
        <f>IFERROR(__xludf.DUMMYFUNCTION("IF(N25="""", """", GOOGLETRANSLATE(N25, ""en"", ""fr""))"),"")</f>
        <v/>
      </c>
      <c r="P25" s="10" t="str">
        <f>IFERROR(__xludf.DUMMYFUNCTION("IF(N25="""", """", GOOGLETRANSLATE(N25, ""en"", ""ht""))"),"")</f>
        <v/>
      </c>
      <c r="Q25" s="10" t="s">
        <v>122</v>
      </c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</row>
    <row r="26" ht="14.25" customHeight="1">
      <c r="A26" s="20" t="s">
        <v>94</v>
      </c>
      <c r="B26" s="20" t="s">
        <v>2</v>
      </c>
      <c r="C26" s="10" t="s">
        <v>33</v>
      </c>
      <c r="D26" s="10" t="str">
        <f>IFERROR(__xludf.DUMMYFUNCTION("IF(C26="""", """", GOOGLETRANSLATE(C26, ""en"", ""fr""))"),"SANS ÉTIQUETTE")</f>
        <v>SANS ÉTIQUETTE</v>
      </c>
      <c r="E26" s="10" t="str">
        <f>IFERROR(__xludf.DUMMYFUNCTION("IF(C26="""", """", GOOGLETRANSLATE(C26, ""en"", ""ht""))"),"PA GEN_ETIKÈT")</f>
        <v>PA GEN_ETIKÈT</v>
      </c>
      <c r="F26" s="10"/>
      <c r="G26" s="10"/>
      <c r="H26" s="10"/>
      <c r="I26" s="10"/>
      <c r="J26" s="10"/>
      <c r="K26" s="10"/>
      <c r="L26" s="10"/>
      <c r="M26" s="10"/>
      <c r="N26" s="10"/>
      <c r="O26" s="10" t="str">
        <f>IFERROR(__xludf.DUMMYFUNCTION("IF(N26="""", """", GOOGLETRANSLATE(N26, ""en"", ""fr""))"),"")</f>
        <v/>
      </c>
      <c r="P26" s="10" t="str">
        <f>IFERROR(__xludf.DUMMYFUNCTION("IF(N26="""", """", GOOGLETRANSLATE(N26, ""en"", ""ht""))"),"")</f>
        <v/>
      </c>
      <c r="Q26" s="10" t="s">
        <v>123</v>
      </c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</row>
    <row r="27" ht="14.25" customHeight="1">
      <c r="A27" s="20" t="s">
        <v>47</v>
      </c>
      <c r="B27" s="20" t="s">
        <v>3</v>
      </c>
      <c r="C27" s="10" t="s">
        <v>124</v>
      </c>
      <c r="D27" s="10" t="str">
        <f>IFERROR(__xludf.DUMMYFUNCTION("IF(C27="""", """", GOOGLETRANSLATE(C27, ""en"", ""fr""))"),"Nom et prénom")</f>
        <v>Nom et prénom</v>
      </c>
      <c r="E27" s="10" t="str">
        <f>IFERROR(__xludf.DUMMYFUNCTION("IF(C27="""", """", GOOGLETRANSLATE(C27, ""en"", ""ht""))"),"Non konplè")</f>
        <v>Non konplè</v>
      </c>
      <c r="F27" s="10" t="s">
        <v>82</v>
      </c>
      <c r="G27" s="10"/>
      <c r="H27" s="10"/>
      <c r="I27" s="10"/>
      <c r="J27" s="10" t="s">
        <v>125</v>
      </c>
      <c r="K27" s="10"/>
      <c r="L27" s="10"/>
      <c r="M27" s="10"/>
      <c r="N27" s="10"/>
      <c r="O27" s="10" t="str">
        <f>IFERROR(__xludf.DUMMYFUNCTION("IF(N27="""", """", GOOGLETRANSLATE(N27, ""en"", ""fr""))"),"")</f>
        <v/>
      </c>
      <c r="P27" s="10" t="str">
        <f>IFERROR(__xludf.DUMMYFUNCTION("IF(N27="""", """", GOOGLETRANSLATE(N27, ""en"", ""ht""))"),"")</f>
        <v/>
      </c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</row>
    <row r="28" ht="14.25" customHeight="1">
      <c r="A28" s="20" t="s">
        <v>47</v>
      </c>
      <c r="B28" s="20" t="s">
        <v>126</v>
      </c>
      <c r="C28" s="10" t="s">
        <v>127</v>
      </c>
      <c r="D28" s="10" t="str">
        <f>IFERROR(__xludf.DUMMYFUNCTION("IF(C28="""", """", GOOGLETRANSLATE(C28, ""en"", ""fr""))"),"Nom court")</f>
        <v>Nom court</v>
      </c>
      <c r="E28" s="10" t="str">
        <f>IFERROR(__xludf.DUMMYFUNCTION("IF(C28="""", """", GOOGLETRANSLATE(C28, ""en"", ""ht""))"),"Non kout")</f>
        <v>Non kout</v>
      </c>
      <c r="F28" s="10" t="s">
        <v>128</v>
      </c>
      <c r="G28" s="10"/>
      <c r="H28" s="10"/>
      <c r="I28" s="10"/>
      <c r="J28" s="10" t="s">
        <v>129</v>
      </c>
      <c r="K28" s="10" t="s">
        <v>130</v>
      </c>
      <c r="L28" s="10"/>
      <c r="M28" s="10"/>
      <c r="N28" s="23" t="s">
        <v>131</v>
      </c>
      <c r="O28" s="10" t="str">
        <f>IFERROR(__xludf.DUMMYFUNCTION("IF(N28="""", """", GOOGLETRANSLATE(N28, ""en"", ""fr""))"),"Veuillez saisir un prénom court que la personne préfère.")</f>
        <v>Veuillez saisir un prénom court que la personne préfère.</v>
      </c>
      <c r="P28" s="10" t="str">
        <f>IFERROR(__xludf.DUMMYFUNCTION("IF(N28="""", """", GOOGLETRANSLATE(N28, ""en"", ""ht""))"),"Tanpri antre yon non kout ke moun nan prefere.")</f>
        <v>Tanpri antre yon non kout ke moun nan prefere.</v>
      </c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</row>
    <row r="29" ht="14.25" customHeight="1">
      <c r="A29" s="20" t="s">
        <v>97</v>
      </c>
      <c r="B29" s="20" t="s">
        <v>132</v>
      </c>
      <c r="C29" s="10"/>
      <c r="D29" s="10" t="str">
        <f>IFERROR(__xludf.DUMMYFUNCTION("IF(C29="""", """", GOOGLETRANSLATE(C29, ""en"", ""fr""))"),"")</f>
        <v/>
      </c>
      <c r="E29" s="10" t="str">
        <f>IFERROR(__xludf.DUMMYFUNCTION("IF(C29="""", """", GOOGLETRANSLATE(C29, ""en"", ""ht""))"),"")</f>
        <v/>
      </c>
      <c r="F29" s="10" t="s">
        <v>82</v>
      </c>
      <c r="G29" s="10"/>
      <c r="H29" s="10"/>
      <c r="I29" s="10"/>
      <c r="J29" s="10"/>
      <c r="K29" s="10"/>
      <c r="L29" s="10" t="s">
        <v>133</v>
      </c>
      <c r="M29" s="10"/>
      <c r="N29" s="10"/>
      <c r="O29" s="10" t="str">
        <f>IFERROR(__xludf.DUMMYFUNCTION("IF(N29="""", """", GOOGLETRANSLATE(N29, ""en"", ""fr""))"),"")</f>
        <v/>
      </c>
      <c r="P29" s="10" t="str">
        <f>IFERROR(__xludf.DUMMYFUNCTION("IF(N29="""", """", GOOGLETRANSLATE(N29, ""en"", ""ht""))"),"")</f>
        <v/>
      </c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</row>
    <row r="30" ht="14.25" customHeight="1">
      <c r="A30" s="20" t="s">
        <v>97</v>
      </c>
      <c r="B30" s="20" t="s">
        <v>134</v>
      </c>
      <c r="C30" s="10"/>
      <c r="D30" s="10" t="str">
        <f>IFERROR(__xludf.DUMMYFUNCTION("IF(C30="""", """", GOOGLETRANSLATE(C30, ""en"", ""fr""))"),"")</f>
        <v/>
      </c>
      <c r="E30" s="10" t="str">
        <f>IFERROR(__xludf.DUMMYFUNCTION("IF(C30="""", """", GOOGLETRANSLATE(C30, ""en"", ""ht""))"),"")</f>
        <v/>
      </c>
      <c r="F30" s="10"/>
      <c r="G30" s="10"/>
      <c r="H30" s="10"/>
      <c r="I30" s="10"/>
      <c r="J30" s="10"/>
      <c r="K30" s="10"/>
      <c r="L30" s="10" t="s">
        <v>135</v>
      </c>
      <c r="M30" s="10"/>
      <c r="N30" s="10"/>
      <c r="O30" s="10" t="str">
        <f>IFERROR(__xludf.DUMMYFUNCTION("IF(N30="""", """", GOOGLETRANSLATE(N30, ""en"", ""fr""))"),"")</f>
        <v/>
      </c>
      <c r="P30" s="10" t="str">
        <f>IFERROR(__xludf.DUMMYFUNCTION("IF(N30="""", """", GOOGLETRANSLATE(N30, ""en"", ""ht""))"),"")</f>
        <v/>
      </c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</row>
    <row r="31" ht="14.25" customHeight="1">
      <c r="A31" s="20" t="s">
        <v>29</v>
      </c>
      <c r="B31" s="20" t="s">
        <v>136</v>
      </c>
      <c r="C31" s="10" t="s">
        <v>33</v>
      </c>
      <c r="D31" s="10" t="str">
        <f>IFERROR(__xludf.DUMMYFUNCTION("IF(C31="""", """", GOOGLETRANSLATE(C31, ""en"", ""fr""))"),"SANS ÉTIQUETTE")</f>
        <v>SANS ÉTIQUETTE</v>
      </c>
      <c r="E31" s="10" t="str">
        <f>IFERROR(__xludf.DUMMYFUNCTION("IF(C31="""", """", GOOGLETRANSLATE(C31, ""en"", ""ht""))"),"PA GEN_ETIKÈT")</f>
        <v>PA GEN_ETIKÈT</v>
      </c>
      <c r="F31" s="10"/>
      <c r="G31" s="10"/>
      <c r="H31" s="10"/>
      <c r="I31" s="10"/>
      <c r="J31" s="10"/>
      <c r="K31" s="10"/>
      <c r="L31" s="10"/>
      <c r="M31" s="10"/>
      <c r="N31" s="10"/>
      <c r="O31" s="10" t="str">
        <f>IFERROR(__xludf.DUMMYFUNCTION("IF(N31="""", """", GOOGLETRANSLATE(N31, ""en"", ""fr""))"),"")</f>
        <v/>
      </c>
      <c r="P31" s="10" t="str">
        <f>IFERROR(__xludf.DUMMYFUNCTION("IF(N31="""", """", GOOGLETRANSLATE(N31, ""en"", ""ht""))"),"")</f>
        <v/>
      </c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</row>
    <row r="32" ht="14.25" customHeight="1">
      <c r="A32" s="20" t="s">
        <v>137</v>
      </c>
      <c r="B32" s="20" t="s">
        <v>138</v>
      </c>
      <c r="C32" s="10" t="s">
        <v>139</v>
      </c>
      <c r="D32" s="10" t="str">
        <f>IFERROR(__xludf.DUMMYFUNCTION("IF(C32="""", """", GOOGLETRANSLATE(C32, ""en"", ""fr""))"),"Âge")</f>
        <v>Âge</v>
      </c>
      <c r="E32" s="10" t="str">
        <f>IFERROR(__xludf.DUMMYFUNCTION("IF(C32="""", """", GOOGLETRANSLATE(C32, ""en"", ""ht""))"),"Laj")</f>
        <v>Laj</v>
      </c>
      <c r="F32" s="10" t="s">
        <v>82</v>
      </c>
      <c r="G32" s="10" t="s">
        <v>140</v>
      </c>
      <c r="H32" s="10"/>
      <c r="I32" s="10"/>
      <c r="J32" s="10" t="s">
        <v>141</v>
      </c>
      <c r="K32" s="10" t="s">
        <v>142</v>
      </c>
      <c r="L32" s="10"/>
      <c r="M32" s="10"/>
      <c r="N32" s="10" t="s">
        <v>143</v>
      </c>
      <c r="O32" s="10" t="str">
        <f>IFERROR(__xludf.DUMMYFUNCTION("IF(N32="""", """", GOOGLETRANSLATE(N32, ""en"", ""fr""))"),"Date de naissance")</f>
        <v>Date de naissance</v>
      </c>
      <c r="P32" s="10" t="str">
        <f>IFERROR(__xludf.DUMMYFUNCTION("IF(N32="""", """", GOOGLETRANSLATE(N32, ""en"", ""ht""))"),"Dat Nesans")</f>
        <v>Dat Nesans</v>
      </c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</row>
    <row r="33" ht="14.25" customHeight="1">
      <c r="A33" s="20" t="s">
        <v>144</v>
      </c>
      <c r="B33" s="20" t="s">
        <v>145</v>
      </c>
      <c r="C33" s="10" t="s">
        <v>146</v>
      </c>
      <c r="D33" s="10" t="str">
        <f>IFERROR(__xludf.DUMMYFUNCTION("IF(C33="""", """", GOOGLETRANSLATE(C33, ""en"", ""fr""))"),"**Âge**")</f>
        <v>**Âge**</v>
      </c>
      <c r="E33" s="10" t="str">
        <f>IFERROR(__xludf.DUMMYFUNCTION("IF(C33="""", """", GOOGLETRANSLATE(C33, ""en"", ""ht""))"),"**Laj**")</f>
        <v>**Laj**</v>
      </c>
      <c r="F33" s="10"/>
      <c r="G33" s="10" t="s">
        <v>147</v>
      </c>
      <c r="H33" s="10"/>
      <c r="I33" s="10"/>
      <c r="J33" s="10"/>
      <c r="K33" s="10"/>
      <c r="L33" s="10"/>
      <c r="M33" s="10"/>
      <c r="N33" s="10"/>
      <c r="O33" s="10" t="str">
        <f>IFERROR(__xludf.DUMMYFUNCTION("IF(N33="""", """", GOOGLETRANSLATE(N33, ""en"", ""fr""))"),"")</f>
        <v/>
      </c>
      <c r="P33" s="10" t="str">
        <f>IFERROR(__xludf.DUMMYFUNCTION("IF(N33="""", """", GOOGLETRANSLATE(N33, ""en"", ""ht""))"),"")</f>
        <v/>
      </c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</row>
    <row r="34" ht="14.25" customHeight="1">
      <c r="A34" s="20" t="s">
        <v>148</v>
      </c>
      <c r="B34" s="20" t="s">
        <v>149</v>
      </c>
      <c r="C34" s="10" t="s">
        <v>150</v>
      </c>
      <c r="D34" s="10" t="str">
        <f>IFERROR(__xludf.DUMMYFUNCTION("IF(C34="""", """", GOOGLETRANSLATE(C34, ""en"", ""fr""))"),"Années")</f>
        <v>Années</v>
      </c>
      <c r="E34" s="10" t="str">
        <f>IFERROR(__xludf.DUMMYFUNCTION("IF(C34="""", """", GOOGLETRANSLATE(C34, ""en"", ""ht""))"),"Ane")</f>
        <v>Ane</v>
      </c>
      <c r="F34" s="10" t="s">
        <v>82</v>
      </c>
      <c r="G34" s="10" t="s">
        <v>147</v>
      </c>
      <c r="H34" s="10"/>
      <c r="I34" s="10"/>
      <c r="J34" s="10" t="s">
        <v>151</v>
      </c>
      <c r="K34" s="10" t="s">
        <v>152</v>
      </c>
      <c r="L34" s="10"/>
      <c r="M34" s="10"/>
      <c r="N34" s="10"/>
      <c r="O34" s="10" t="str">
        <f>IFERROR(__xludf.DUMMYFUNCTION("IF(N34="""", """", GOOGLETRANSLATE(N34, ""en"", ""fr""))"),"")</f>
        <v/>
      </c>
      <c r="P34" s="10" t="str">
        <f>IFERROR(__xludf.DUMMYFUNCTION("IF(N34="""", """", GOOGLETRANSLATE(N34, ""en"", ""ht""))"),"")</f>
        <v/>
      </c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</row>
    <row r="35" ht="14.25" customHeight="1">
      <c r="A35" s="20" t="s">
        <v>148</v>
      </c>
      <c r="B35" s="20" t="s">
        <v>153</v>
      </c>
      <c r="C35" s="10" t="s">
        <v>154</v>
      </c>
      <c r="D35" s="10" t="str">
        <f>IFERROR(__xludf.DUMMYFUNCTION("IF(C35="""", """", GOOGLETRANSLATE(C35, ""en"", ""fr""))"),"Mois")</f>
        <v>Mois</v>
      </c>
      <c r="E35" s="10" t="str">
        <f>IFERROR(__xludf.DUMMYFUNCTION("IF(C35="""", """", GOOGLETRANSLATE(C35, ""en"", ""ht""))"),"Mwa")</f>
        <v>Mwa</v>
      </c>
      <c r="F35" s="10"/>
      <c r="G35" s="10" t="s">
        <v>147</v>
      </c>
      <c r="H35" s="10"/>
      <c r="I35" s="10"/>
      <c r="J35" s="10" t="s">
        <v>155</v>
      </c>
      <c r="K35" s="10" t="s">
        <v>156</v>
      </c>
      <c r="L35" s="10"/>
      <c r="M35" s="10"/>
      <c r="N35" s="10"/>
      <c r="O35" s="10" t="str">
        <f>IFERROR(__xludf.DUMMYFUNCTION("IF(N35="""", """", GOOGLETRANSLATE(N35, ""en"", ""fr""))"),"")</f>
        <v/>
      </c>
      <c r="P35" s="10" t="str">
        <f>IFERROR(__xludf.DUMMYFUNCTION("IF(N35="""", """", GOOGLETRANSLATE(N35, ""en"", ""ht""))"),"")</f>
        <v/>
      </c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</row>
    <row r="36" ht="14.25" customHeight="1">
      <c r="A36" s="20" t="s">
        <v>157</v>
      </c>
      <c r="B36" s="20" t="s">
        <v>158</v>
      </c>
      <c r="C36" s="10" t="s">
        <v>159</v>
      </c>
      <c r="D36" s="10" t="str">
        <f>IFERROR(__xludf.DUMMYFUNCTION("IF(C36="""", """", GOOGLETRANSLATE(C36, ""en"", ""fr""))"),"SUPPRIMER_CETTE_LIGNE")</f>
        <v>SUPPRIMER_CETTE_LIGNE</v>
      </c>
      <c r="E36" s="10" t="str">
        <f>IFERROR(__xludf.DUMMYFUNCTION("IF(C36="""", """", GOOGLETRANSLATE(C36, ""en"", ""ht""))"),"EFASE_LIY_SA A")</f>
        <v>EFASE_LIY_SA A</v>
      </c>
      <c r="F36" s="10"/>
      <c r="G36" s="10"/>
      <c r="H36" s="10" t="s">
        <v>160</v>
      </c>
      <c r="I36" s="10"/>
      <c r="J36" s="10"/>
      <c r="K36" s="10"/>
      <c r="L36" s="10"/>
      <c r="M36" s="10"/>
      <c r="N36" s="10"/>
      <c r="O36" s="10" t="str">
        <f>IFERROR(__xludf.DUMMYFUNCTION("IF(N36="""", """", GOOGLETRANSLATE(N36, ""en"", ""fr""))"),"")</f>
        <v/>
      </c>
      <c r="P36" s="10" t="str">
        <f>IFERROR(__xludf.DUMMYFUNCTION("IF(N36="""", """", GOOGLETRANSLATE(N36, ""en"", ""ht""))"),"")</f>
        <v/>
      </c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</row>
    <row r="37" ht="14.25" customHeight="1">
      <c r="A37" s="20" t="s">
        <v>97</v>
      </c>
      <c r="B37" s="20" t="s">
        <v>161</v>
      </c>
      <c r="C37" s="10" t="s">
        <v>162</v>
      </c>
      <c r="D37" s="10" t="str">
        <f>IFERROR(__xludf.DUMMYFUNCTION("IF(C37="""", """", GOOGLETRANSLATE(C37, ""en"", ""fr""))"),"Date de naissance")</f>
        <v>Date de naissance</v>
      </c>
      <c r="E37" s="10" t="str">
        <f>IFERROR(__xludf.DUMMYFUNCTION("IF(C37="""", """", GOOGLETRANSLATE(C37, ""en"", ""ht""))"),"Dat nesans")</f>
        <v>Dat nesans</v>
      </c>
      <c r="F37" s="10"/>
      <c r="G37" s="10"/>
      <c r="H37" s="10"/>
      <c r="I37" s="10"/>
      <c r="J37" s="10"/>
      <c r="K37" s="10"/>
      <c r="L37" s="10" t="s">
        <v>163</v>
      </c>
      <c r="M37" s="10"/>
      <c r="N37" s="10"/>
      <c r="O37" s="10" t="str">
        <f>IFERROR(__xludf.DUMMYFUNCTION("IF(N37="""", """", GOOGLETRANSLATE(N37, ""en"", ""fr""))"),"")</f>
        <v/>
      </c>
      <c r="P37" s="10" t="str">
        <f>IFERROR(__xludf.DUMMYFUNCTION("IF(N37="""", """", GOOGLETRANSLATE(N37, ""en"", ""ht""))"),"")</f>
        <v/>
      </c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</row>
    <row r="38" ht="14.25" customHeight="1">
      <c r="A38" s="20" t="s">
        <v>97</v>
      </c>
      <c r="B38" s="20" t="s">
        <v>164</v>
      </c>
      <c r="C38" s="10"/>
      <c r="D38" s="10" t="str">
        <f>IFERROR(__xludf.DUMMYFUNCTION("IF(C38="""", """", GOOGLETRANSLATE(C38, ""en"", ""fr""))"),"")</f>
        <v/>
      </c>
      <c r="E38" s="10" t="str">
        <f>IFERROR(__xludf.DUMMYFUNCTION("IF(C38="""", """", GOOGLETRANSLATE(C38, ""en"", ""ht""))"),"")</f>
        <v/>
      </c>
      <c r="F38" s="10"/>
      <c r="G38" s="10"/>
      <c r="H38" s="10"/>
      <c r="I38" s="10"/>
      <c r="J38" s="10"/>
      <c r="K38" s="10"/>
      <c r="L38" s="24" t="s">
        <v>165</v>
      </c>
      <c r="M38" s="10"/>
      <c r="N38" s="10"/>
      <c r="O38" s="10" t="str">
        <f>IFERROR(__xludf.DUMMYFUNCTION("IF(N38="""", """", GOOGLETRANSLATE(N38, ""en"", ""fr""))"),"")</f>
        <v/>
      </c>
      <c r="P38" s="10" t="str">
        <f>IFERROR(__xludf.DUMMYFUNCTION("IF(N38="""", """", GOOGLETRANSLATE(N38, ""en"", ""ht""))"),"")</f>
        <v/>
      </c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</row>
    <row r="39" ht="14.25" customHeight="1">
      <c r="A39" s="20" t="s">
        <v>97</v>
      </c>
      <c r="B39" s="20" t="s">
        <v>166</v>
      </c>
      <c r="C39" s="10" t="s">
        <v>143</v>
      </c>
      <c r="D39" s="10" t="str">
        <f>IFERROR(__xludf.DUMMYFUNCTION("IF(C39="""", """", GOOGLETRANSLATE(C39, ""en"", ""fr""))"),"Date de naissance")</f>
        <v>Date de naissance</v>
      </c>
      <c r="E39" s="10" t="str">
        <f>IFERROR(__xludf.DUMMYFUNCTION("IF(C39="""", """", GOOGLETRANSLATE(C39, ""en"", ""ht""))"),"Dat Nesans")</f>
        <v>Dat Nesans</v>
      </c>
      <c r="F39" s="10"/>
      <c r="G39" s="10"/>
      <c r="H39" s="10"/>
      <c r="I39" s="10"/>
      <c r="J39" s="10"/>
      <c r="K39" s="10"/>
      <c r="L39" s="10" t="s">
        <v>167</v>
      </c>
      <c r="M39" s="10"/>
      <c r="N39" s="10"/>
      <c r="O39" s="10" t="str">
        <f>IFERROR(__xludf.DUMMYFUNCTION("IF(N39="""", """", GOOGLETRANSLATE(N39, ""en"", ""fr""))"),"")</f>
        <v/>
      </c>
      <c r="P39" s="10" t="str">
        <f>IFERROR(__xludf.DUMMYFUNCTION("IF(N39="""", """", GOOGLETRANSLATE(N39, ""en"", ""ht""))"),"")</f>
        <v/>
      </c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</row>
    <row r="40" ht="14.25" customHeight="1">
      <c r="A40" s="20" t="s">
        <v>144</v>
      </c>
      <c r="B40" s="20" t="s">
        <v>168</v>
      </c>
      <c r="C40" s="24" t="s">
        <v>169</v>
      </c>
      <c r="D40" s="10" t="str">
        <f>IFERROR(__xludf.DUMMYFUNCTION("IF(C40="""", """", GOOGLETRANSLATE(C40, ""en"", ""fr""))"),"Date de naissance approximative : ${dob_approx}
Date de naissance calendaire : ${dob_calendar}
Date de naissance ISO : ${dob_iso}")</f>
        <v>Date de naissance approximative : ${dob_approx}
Date de naissance calendaire : ${dob_calendar}
Date de naissance ISO : ${dob_iso}</v>
      </c>
      <c r="E40" s="10" t="str">
        <f>IFERROR(__xludf.DUMMYFUNCTION("IF(C40="""", """", GOOGLETRANSLATE(C40, ""en"", ""ht""))"),"Dat Nesans Apeprè: ${dob_approx}
Kalandriye Dat Nesans: ${dob_calendar}
Dat Nesans ISO: ${dob_iso}")</f>
        <v>Dat Nesans Apeprè: ${dob_approx}
Kalandriye Dat Nesans: ${dob_calendar}
Dat Nesans ISO: ${dob_iso}</v>
      </c>
      <c r="F40" s="10"/>
      <c r="G40" s="10" t="b">
        <f>FALSE()</f>
        <v>0</v>
      </c>
      <c r="H40" s="10"/>
      <c r="I40" s="10"/>
      <c r="J40" s="10"/>
      <c r="K40" s="10"/>
      <c r="L40" s="10"/>
      <c r="M40" s="10"/>
      <c r="N40" s="10"/>
      <c r="O40" s="10" t="str">
        <f>IFERROR(__xludf.DUMMYFUNCTION("IF(N40="""", """", GOOGLETRANSLATE(N40, ""en"", ""fr""))"),"")</f>
        <v/>
      </c>
      <c r="P40" s="10" t="str">
        <f>IFERROR(__xludf.DUMMYFUNCTION("IF(N40="""", """", GOOGLETRANSLATE(N40, ""en"", ""ht""))"),"")</f>
        <v/>
      </c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</row>
    <row r="41" ht="14.25" customHeight="1">
      <c r="A41" s="20" t="s">
        <v>63</v>
      </c>
      <c r="B41" s="20"/>
      <c r="C41" s="10"/>
      <c r="D41" s="10" t="str">
        <f>IFERROR(__xludf.DUMMYFUNCTION("IF(C41="""", """", GOOGLETRANSLATE(C41, ""en"", ""fr""))"),"")</f>
        <v/>
      </c>
      <c r="E41" s="10" t="str">
        <f>IFERROR(__xludf.DUMMYFUNCTION("IF(C41="""", """", GOOGLETRANSLATE(C41, ""en"", ""ht""))"),"")</f>
        <v/>
      </c>
      <c r="F41" s="10"/>
      <c r="G41" s="10"/>
      <c r="H41" s="10"/>
      <c r="I41" s="10"/>
      <c r="J41" s="10"/>
      <c r="K41" s="10"/>
      <c r="L41" s="10"/>
      <c r="M41" s="10"/>
      <c r="N41" s="10"/>
      <c r="O41" s="10" t="str">
        <f>IFERROR(__xludf.DUMMYFUNCTION("IF(N41="""", """", GOOGLETRANSLATE(N41, ""en"", ""fr""))"),"")</f>
        <v/>
      </c>
      <c r="P41" s="10" t="str">
        <f>IFERROR(__xludf.DUMMYFUNCTION("IF(N41="""", """", GOOGLETRANSLATE(N41, ""en"", ""ht""))"),"")</f>
        <v/>
      </c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</row>
    <row r="42" ht="14.25" customHeight="1">
      <c r="A42" s="20" t="s">
        <v>170</v>
      </c>
      <c r="B42" s="20" t="s">
        <v>171</v>
      </c>
      <c r="C42" s="10" t="s">
        <v>172</v>
      </c>
      <c r="D42" s="10" t="str">
        <f>IFERROR(__xludf.DUMMYFUNCTION("IF(C42="""", """", GOOGLETRANSLATE(C42, ""en"", ""fr""))"),"Numéro de téléphone")</f>
        <v>Numéro de téléphone</v>
      </c>
      <c r="E42" s="10" t="str">
        <f>IFERROR(__xludf.DUMMYFUNCTION("IF(C42="""", """", GOOGLETRANSLATE(C42, ""en"", ""ht""))"),"Nimewo Telefòn")</f>
        <v>Nimewo Telefòn</v>
      </c>
      <c r="F42" s="10"/>
      <c r="G42" s="10" t="s">
        <v>120</v>
      </c>
      <c r="H42" s="10"/>
      <c r="I42" s="10"/>
      <c r="J42" s="25" t="b">
        <f t="shared" ref="J42:J43" si="1">TRUE()</f>
        <v>1</v>
      </c>
      <c r="K42" s="10" t="s">
        <v>173</v>
      </c>
      <c r="L42" s="10"/>
      <c r="M42" s="10"/>
      <c r="N42" s="10"/>
      <c r="O42" s="10" t="str">
        <f>IFERROR(__xludf.DUMMYFUNCTION("IF(N42="""", """", GOOGLETRANSLATE(N42, ""en"", ""fr""))"),"")</f>
        <v/>
      </c>
      <c r="P42" s="10" t="str">
        <f>IFERROR(__xludf.DUMMYFUNCTION("IF(N42="""", """", GOOGLETRANSLATE(N42, ""en"", ""ht""))"),"")</f>
        <v/>
      </c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</row>
    <row r="43" ht="14.25" customHeight="1">
      <c r="A43" s="20" t="s">
        <v>170</v>
      </c>
      <c r="B43" s="20" t="s">
        <v>174</v>
      </c>
      <c r="C43" s="10" t="s">
        <v>175</v>
      </c>
      <c r="D43" s="10" t="str">
        <f>IFERROR(__xludf.DUMMYFUNCTION("IF(C43="""", """", GOOGLETRANSLATE(C43, ""en"", ""fr""))"),"Numéro de téléphone alternatif")</f>
        <v>Numéro de téléphone alternatif</v>
      </c>
      <c r="E43" s="10" t="str">
        <f>IFERROR(__xludf.DUMMYFUNCTION("IF(C43="""", """", GOOGLETRANSLATE(C43, ""en"", ""ht""))"),"Nimewo Telefòn Altènatif")</f>
        <v>Nimewo Telefòn Altènatif</v>
      </c>
      <c r="F43" s="10"/>
      <c r="G43" s="10" t="s">
        <v>120</v>
      </c>
      <c r="H43" s="10"/>
      <c r="I43" s="10"/>
      <c r="J43" s="25" t="b">
        <f t="shared" si="1"/>
        <v>1</v>
      </c>
      <c r="K43" s="10" t="s">
        <v>173</v>
      </c>
      <c r="L43" s="10"/>
      <c r="M43" s="10"/>
      <c r="N43" s="10"/>
      <c r="O43" s="10" t="str">
        <f>IFERROR(__xludf.DUMMYFUNCTION("IF(N43="""", """", GOOGLETRANSLATE(N43, ""en"", ""fr""))"),"")</f>
        <v/>
      </c>
      <c r="P43" s="10" t="str">
        <f>IFERROR(__xludf.DUMMYFUNCTION("IF(N43="""", """", GOOGLETRANSLATE(N43, ""en"", ""ht""))"),"")</f>
        <v/>
      </c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</row>
    <row r="44" ht="14.25" customHeight="1">
      <c r="A44" s="20" t="s">
        <v>176</v>
      </c>
      <c r="B44" s="20" t="s">
        <v>177</v>
      </c>
      <c r="C44" s="10" t="s">
        <v>178</v>
      </c>
      <c r="D44" s="10" t="str">
        <f>IFERROR(__xludf.DUMMYFUNCTION("IF(C44="""", """", GOOGLETRANSLATE(C44, ""en"", ""fr""))"),"Sexe")</f>
        <v>Sexe</v>
      </c>
      <c r="E44" s="10" t="str">
        <f>IFERROR(__xludf.DUMMYFUNCTION("IF(C44="""", """", GOOGLETRANSLATE(C44, ""en"", ""ht""))"),"Sèks")</f>
        <v>Sèks</v>
      </c>
      <c r="F44" s="10" t="s">
        <v>82</v>
      </c>
      <c r="G44" s="10" t="s">
        <v>120</v>
      </c>
      <c r="H44" s="10" t="s">
        <v>160</v>
      </c>
      <c r="I44" s="10"/>
      <c r="J44" s="10"/>
      <c r="K44" s="10"/>
      <c r="L44" s="10"/>
      <c r="M44" s="10"/>
      <c r="N44" s="10"/>
      <c r="O44" s="10" t="str">
        <f>IFERROR(__xludf.DUMMYFUNCTION("IF(N44="""", """", GOOGLETRANSLATE(N44, ""en"", ""fr""))"),"")</f>
        <v/>
      </c>
      <c r="P44" s="10" t="str">
        <f>IFERROR(__xludf.DUMMYFUNCTION("IF(N44="""", """", GOOGLETRANSLATE(N44, ""en"", ""ht""))"),"")</f>
        <v/>
      </c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</row>
    <row r="45" ht="14.25" customHeight="1">
      <c r="A45" s="20" t="s">
        <v>179</v>
      </c>
      <c r="B45" s="20" t="s">
        <v>180</v>
      </c>
      <c r="C45" s="10" t="s">
        <v>181</v>
      </c>
      <c r="D45" s="10" t="str">
        <f>IFERROR(__xludf.DUMMYFUNCTION("IF(C45="""", """", GOOGLETRANSLATE(C45, ""en"", ""fr""))"),"Rôle")</f>
        <v>Rôle</v>
      </c>
      <c r="E45" s="10" t="str">
        <f>IFERROR(__xludf.DUMMYFUNCTION("IF(C45="""", """", GOOGLETRANSLATE(C45, ""en"", ""ht""))"),"Wòl")</f>
        <v>Wòl</v>
      </c>
      <c r="F45" s="10"/>
      <c r="G45" s="10" t="s">
        <v>120</v>
      </c>
      <c r="H45" s="10"/>
      <c r="I45" s="10"/>
      <c r="J45" s="10"/>
      <c r="K45" s="10"/>
      <c r="L45" s="10"/>
      <c r="M45" s="10"/>
      <c r="N45" s="10"/>
      <c r="O45" s="10" t="str">
        <f>IFERROR(__xludf.DUMMYFUNCTION("IF(N45="""", """", GOOGLETRANSLATE(N45, ""en"", ""fr""))"),"")</f>
        <v/>
      </c>
      <c r="P45" s="10" t="str">
        <f>IFERROR(__xludf.DUMMYFUNCTION("IF(N45="""", """", GOOGLETRANSLATE(N45, ""en"", ""ht""))"),"")</f>
        <v/>
      </c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</row>
    <row r="46" ht="14.25" customHeight="1">
      <c r="A46" s="20" t="s">
        <v>47</v>
      </c>
      <c r="B46" s="20" t="s">
        <v>182</v>
      </c>
      <c r="C46" s="10" t="s">
        <v>183</v>
      </c>
      <c r="D46" s="10" t="str">
        <f>IFERROR(__xludf.DUMMYFUNCTION("IF(C46="""", """", GOOGLETRANSLATE(C46, ""en"", ""fr""))"),"Précisez autre")</f>
        <v>Précisez autre</v>
      </c>
      <c r="E46" s="10" t="str">
        <f>IFERROR(__xludf.DUMMYFUNCTION("IF(C46="""", """", GOOGLETRANSLATE(C46, ""en"", ""ht""))"),"Espesifye lòt")</f>
        <v>Espesifye lòt</v>
      </c>
      <c r="F46" s="10" t="s">
        <v>82</v>
      </c>
      <c r="G46" s="10" t="s">
        <v>184</v>
      </c>
      <c r="H46" s="10"/>
      <c r="I46" s="10"/>
      <c r="J46" s="10"/>
      <c r="K46" s="10"/>
      <c r="L46" s="10"/>
      <c r="M46" s="10"/>
      <c r="N46" s="10"/>
      <c r="O46" s="10" t="str">
        <f>IFERROR(__xludf.DUMMYFUNCTION("IF(N46="""", """", GOOGLETRANSLATE(N46, ""en"", ""fr""))"),"")</f>
        <v/>
      </c>
      <c r="P46" s="10" t="str">
        <f>IFERROR(__xludf.DUMMYFUNCTION("IF(N46="""", """", GOOGLETRANSLATE(N46, ""en"", ""ht""))"),"")</f>
        <v/>
      </c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</row>
    <row r="47" ht="14.25" customHeight="1">
      <c r="A47" s="20" t="s">
        <v>47</v>
      </c>
      <c r="B47" s="20" t="s">
        <v>185</v>
      </c>
      <c r="C47" s="10" t="s">
        <v>186</v>
      </c>
      <c r="D47" s="10" t="str">
        <f>IFERROR(__xludf.DUMMYFUNCTION("IF(C47="""", """", GOOGLETRANSLATE(C47, ""en"", ""fr""))"),"ID externe")</f>
        <v>ID externe</v>
      </c>
      <c r="E47" s="10" t="str">
        <f>IFERROR(__xludf.DUMMYFUNCTION("IF(C47="""", """", GOOGLETRANSLATE(C47, ""en"", ""ht""))"),"ID ekstèn")</f>
        <v>ID ekstèn</v>
      </c>
      <c r="F47" s="10"/>
      <c r="G47" s="10" t="s">
        <v>120</v>
      </c>
      <c r="H47" s="10"/>
      <c r="I47" s="10"/>
      <c r="J47" s="10"/>
      <c r="K47" s="10"/>
      <c r="L47" s="10"/>
      <c r="M47" s="10"/>
      <c r="N47" s="10"/>
      <c r="O47" s="10" t="str">
        <f>IFERROR(__xludf.DUMMYFUNCTION("IF(N47="""", """", GOOGLETRANSLATE(N47, ""en"", ""fr""))"),"")</f>
        <v/>
      </c>
      <c r="P47" s="10" t="str">
        <f>IFERROR(__xludf.DUMMYFUNCTION("IF(N47="""", """", GOOGLETRANSLATE(N47, ""en"", ""ht""))"),"")</f>
        <v/>
      </c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</row>
    <row r="48" ht="14.25" customHeight="1">
      <c r="A48" s="20" t="s">
        <v>47</v>
      </c>
      <c r="B48" s="20" t="s">
        <v>28</v>
      </c>
      <c r="C48" s="10" t="s">
        <v>187</v>
      </c>
      <c r="D48" s="10" t="str">
        <f>IFERROR(__xludf.DUMMYFUNCTION("IF(C48="""", """", GOOGLETRANSLATE(C48, ""en"", ""fr""))"),"Notes")</f>
        <v>Notes</v>
      </c>
      <c r="E48" s="10" t="str">
        <f>IFERROR(__xludf.DUMMYFUNCTION("IF(C48="""", """", GOOGLETRANSLATE(C48, ""en"", ""ht""))"),"Nòt")</f>
        <v>Nòt</v>
      </c>
      <c r="F48" s="10"/>
      <c r="G48" s="10" t="s">
        <v>120</v>
      </c>
      <c r="H48" s="10" t="s">
        <v>188</v>
      </c>
      <c r="I48" s="10"/>
      <c r="J48" s="10"/>
      <c r="K48" s="10"/>
      <c r="L48" s="10"/>
      <c r="M48" s="10"/>
      <c r="N48" s="10"/>
      <c r="O48" s="10" t="str">
        <f>IFERROR(__xludf.DUMMYFUNCTION("IF(N48="""", """", GOOGLETRANSLATE(N48, ""en"", ""fr""))"),"")</f>
        <v/>
      </c>
      <c r="P48" s="10" t="str">
        <f>IFERROR(__xludf.DUMMYFUNCTION("IF(N48="""", """", GOOGLETRANSLATE(N48, ""en"", ""ht""))"),"")</f>
        <v/>
      </c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</row>
    <row r="49" ht="14.25" customHeight="1">
      <c r="A49" s="20" t="s">
        <v>29</v>
      </c>
      <c r="B49" s="20" t="s">
        <v>189</v>
      </c>
      <c r="C49" s="10" t="s">
        <v>33</v>
      </c>
      <c r="D49" s="10" t="str">
        <f>IFERROR(__xludf.DUMMYFUNCTION("IF(C49="""", """", GOOGLETRANSLATE(C49, ""en"", ""fr""))"),"SANS ÉTIQUETTE")</f>
        <v>SANS ÉTIQUETTE</v>
      </c>
      <c r="E49" s="10" t="str">
        <f>IFERROR(__xludf.DUMMYFUNCTION("IF(C49="""", """", GOOGLETRANSLATE(C49, ""en"", ""ht""))"),"PA GEN_ETIKÈT")</f>
        <v>PA GEN_ETIKÈT</v>
      </c>
      <c r="F49" s="10"/>
      <c r="G49" s="10"/>
      <c r="H49" s="10"/>
      <c r="I49" s="10"/>
      <c r="J49" s="10"/>
      <c r="K49" s="10"/>
      <c r="L49" s="10"/>
      <c r="M49" s="10"/>
      <c r="N49" s="10"/>
      <c r="O49" s="10" t="str">
        <f>IFERROR(__xludf.DUMMYFUNCTION("IF(N49="""", """", GOOGLETRANSLATE(N49, ""en"", ""fr""))"),"")</f>
        <v/>
      </c>
      <c r="P49" s="10" t="str">
        <f>IFERROR(__xludf.DUMMYFUNCTION("IF(N49="""", """", GOOGLETRANSLATE(N49, ""en"", ""ht""))"),"")</f>
        <v/>
      </c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</row>
    <row r="50" ht="14.25" customHeight="1">
      <c r="A50" s="20" t="s">
        <v>97</v>
      </c>
      <c r="B50" s="20" t="s">
        <v>190</v>
      </c>
      <c r="C50" s="10"/>
      <c r="D50" s="10" t="str">
        <f>IFERROR(__xludf.DUMMYFUNCTION("IF(C50="""", """", GOOGLETRANSLATE(C50, ""en"", ""fr""))"),"")</f>
        <v/>
      </c>
      <c r="E50" s="10" t="str">
        <f>IFERROR(__xludf.DUMMYFUNCTION("IF(C50="""", """", GOOGLETRANSLATE(C50, ""en"", ""ht""))"),"")</f>
        <v/>
      </c>
      <c r="F50" s="10"/>
      <c r="G50" s="10"/>
      <c r="H50" s="10"/>
      <c r="I50" s="10"/>
      <c r="J50" s="10"/>
      <c r="K50" s="10"/>
      <c r="L50" s="26" t="s">
        <v>191</v>
      </c>
      <c r="M50" s="10"/>
      <c r="N50" s="10"/>
      <c r="O50" s="10" t="str">
        <f>IFERROR(__xludf.DUMMYFUNCTION("IF(N50="""", """", GOOGLETRANSLATE(N50, ""en"", ""fr""))"),"")</f>
        <v/>
      </c>
      <c r="P50" s="10" t="str">
        <f>IFERROR(__xludf.DUMMYFUNCTION("IF(N50="""", """", GOOGLETRANSLATE(N50, ""en"", ""ht""))"),"")</f>
        <v/>
      </c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</row>
    <row r="51" ht="14.25" customHeight="1">
      <c r="A51" s="20" t="s">
        <v>63</v>
      </c>
      <c r="B51" s="20"/>
      <c r="C51" s="10"/>
      <c r="D51" s="10" t="str">
        <f>IFERROR(__xludf.DUMMYFUNCTION("IF(C51="""", """", GOOGLETRANSLATE(C51, ""en"", ""fr""))"),"")</f>
        <v/>
      </c>
      <c r="E51" s="10" t="str">
        <f>IFERROR(__xludf.DUMMYFUNCTION("IF(C51="""", """", GOOGLETRANSLATE(C51, ""en"", ""ht""))"),"")</f>
        <v/>
      </c>
      <c r="F51" s="10"/>
      <c r="G51" s="10"/>
      <c r="H51" s="10"/>
      <c r="I51" s="10"/>
      <c r="J51" s="10"/>
      <c r="K51" s="10"/>
      <c r="L51" s="10"/>
      <c r="M51" s="10"/>
      <c r="N51" s="10"/>
      <c r="O51" s="10" t="str">
        <f>IFERROR(__xludf.DUMMYFUNCTION("IF(N51="""", """", GOOGLETRANSLATE(N51, ""en"", ""fr""))"),"")</f>
        <v/>
      </c>
      <c r="P51" s="10" t="str">
        <f>IFERROR(__xludf.DUMMYFUNCTION("IF(N51="""", """", GOOGLETRANSLATE(N51, ""en"", ""ht""))"),"")</f>
        <v/>
      </c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</row>
    <row r="52" ht="14.25" customHeight="1">
      <c r="A52" s="20" t="s">
        <v>29</v>
      </c>
      <c r="B52" s="20" t="s">
        <v>192</v>
      </c>
      <c r="C52" s="10" t="s">
        <v>33</v>
      </c>
      <c r="D52" s="10" t="str">
        <f>IFERROR(__xludf.DUMMYFUNCTION("IF(C52="""", """", GOOGLETRANSLATE(C52, ""en"", ""fr""))"),"SANS ÉTIQUETTE")</f>
        <v>SANS ÉTIQUETTE</v>
      </c>
      <c r="E52" s="10" t="str">
        <f>IFERROR(__xludf.DUMMYFUNCTION("IF(C52="""", """", GOOGLETRANSLATE(C52, ""en"", ""ht""))"),"PA GEN_ETIKÈT")</f>
        <v>PA GEN_ETIKÈT</v>
      </c>
      <c r="F52" s="10"/>
      <c r="G52" s="10"/>
      <c r="H52" s="10" t="s">
        <v>94</v>
      </c>
      <c r="I52" s="10"/>
      <c r="J52" s="10"/>
      <c r="K52" s="10"/>
      <c r="L52" s="10"/>
      <c r="M52" s="10"/>
      <c r="N52" s="10"/>
      <c r="O52" s="10" t="str">
        <f>IFERROR(__xludf.DUMMYFUNCTION("IF(N52="""", """", GOOGLETRANSLATE(N52, ""en"", ""fr""))"),"")</f>
        <v/>
      </c>
      <c r="P52" s="10" t="str">
        <f>IFERROR(__xludf.DUMMYFUNCTION("IF(N52="""", """", GOOGLETRANSLATE(N52, ""en"", ""ht""))"),"")</f>
        <v/>
      </c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</row>
    <row r="53" ht="14.25" customHeight="1">
      <c r="A53" s="20" t="s">
        <v>97</v>
      </c>
      <c r="B53" s="20" t="s">
        <v>193</v>
      </c>
      <c r="C53" s="10"/>
      <c r="D53" s="10" t="str">
        <f>IFERROR(__xludf.DUMMYFUNCTION("IF(C53="""", """", GOOGLETRANSLATE(C53, ""en"", ""fr""))"),"")</f>
        <v/>
      </c>
      <c r="E53" s="10" t="str">
        <f>IFERROR(__xludf.DUMMYFUNCTION("IF(C53="""", """", GOOGLETRANSLATE(C53, ""en"", ""ht""))"),"")</f>
        <v/>
      </c>
      <c r="F53" s="10"/>
      <c r="G53" s="10"/>
      <c r="H53" s="10"/>
      <c r="I53" s="10"/>
      <c r="J53" s="10"/>
      <c r="K53" s="10"/>
      <c r="L53" s="10" t="s">
        <v>194</v>
      </c>
      <c r="M53" s="10"/>
      <c r="N53" s="10"/>
      <c r="O53" s="10" t="str">
        <f>IFERROR(__xludf.DUMMYFUNCTION("IF(N53="""", """", GOOGLETRANSLATE(N53, ""en"", ""fr""))"),"")</f>
        <v/>
      </c>
      <c r="P53" s="10" t="str">
        <f>IFERROR(__xludf.DUMMYFUNCTION("IF(N53="""", """", GOOGLETRANSLATE(N53, ""en"", ""ht""))"),"")</f>
        <v/>
      </c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</row>
    <row r="54" ht="14.25" customHeight="1">
      <c r="A54" s="20" t="s">
        <v>97</v>
      </c>
      <c r="B54" s="20" t="s">
        <v>195</v>
      </c>
      <c r="C54" s="10"/>
      <c r="D54" s="10" t="str">
        <f>IFERROR(__xludf.DUMMYFUNCTION("IF(C54="""", """", GOOGLETRANSLATE(C54, ""en"", ""fr""))"),"")</f>
        <v/>
      </c>
      <c r="E54" s="10" t="str">
        <f>IFERROR(__xludf.DUMMYFUNCTION("IF(C54="""", """", GOOGLETRANSLATE(C54, ""en"", ""ht""))"),"")</f>
        <v/>
      </c>
      <c r="F54" s="10"/>
      <c r="G54" s="10"/>
      <c r="H54" s="10"/>
      <c r="I54" s="10"/>
      <c r="J54" s="10"/>
      <c r="K54" s="10"/>
      <c r="L54" s="10" t="s">
        <v>196</v>
      </c>
      <c r="M54" s="10"/>
      <c r="N54" s="10"/>
      <c r="O54" s="10" t="str">
        <f>IFERROR(__xludf.DUMMYFUNCTION("IF(N54="""", """", GOOGLETRANSLATE(N54, ""en"", ""fr""))"),"")</f>
        <v/>
      </c>
      <c r="P54" s="10" t="str">
        <f>IFERROR(__xludf.DUMMYFUNCTION("IF(N54="""", """", GOOGLETRANSLATE(N54, ""en"", ""ht""))"),"")</f>
        <v/>
      </c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</row>
    <row r="55" ht="14.25" customHeight="1">
      <c r="A55" s="20" t="s">
        <v>97</v>
      </c>
      <c r="B55" s="20" t="s">
        <v>197</v>
      </c>
      <c r="C55" s="10"/>
      <c r="D55" s="10" t="str">
        <f>IFERROR(__xludf.DUMMYFUNCTION("IF(C55="""", """", GOOGLETRANSLATE(C55, ""en"", ""fr""))"),"")</f>
        <v/>
      </c>
      <c r="E55" s="10" t="str">
        <f>IFERROR(__xludf.DUMMYFUNCTION("IF(C55="""", """", GOOGLETRANSLATE(C55, ""en"", ""ht""))"),"")</f>
        <v/>
      </c>
      <c r="F55" s="10"/>
      <c r="G55" s="10"/>
      <c r="H55" s="10"/>
      <c r="I55" s="10"/>
      <c r="J55" s="10"/>
      <c r="K55" s="10"/>
      <c r="L55" s="10" t="s">
        <v>198</v>
      </c>
      <c r="M55" s="10"/>
      <c r="N55" s="10"/>
      <c r="O55" s="10" t="str">
        <f>IFERROR(__xludf.DUMMYFUNCTION("IF(N55="""", """", GOOGLETRANSLATE(N55, ""en"", ""fr""))"),"")</f>
        <v/>
      </c>
      <c r="P55" s="10" t="str">
        <f>IFERROR(__xludf.DUMMYFUNCTION("IF(N55="""", """", GOOGLETRANSLATE(N55, ""en"", ""ht""))"),"")</f>
        <v/>
      </c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</row>
    <row r="56" ht="14.25" customHeight="1">
      <c r="A56" s="20" t="s">
        <v>63</v>
      </c>
      <c r="B56" s="20"/>
      <c r="C56" s="10"/>
      <c r="D56" s="10" t="str">
        <f>IFERROR(__xludf.DUMMYFUNCTION("IF(C56="""", """", GOOGLETRANSLATE(C56, ""en"", ""fr""))"),"")</f>
        <v/>
      </c>
      <c r="E56" s="10" t="str">
        <f>IFERROR(__xludf.DUMMYFUNCTION("IF(C56="""", """", GOOGLETRANSLATE(C56, ""en"", ""ht""))"),"")</f>
        <v/>
      </c>
      <c r="F56" s="10"/>
      <c r="G56" s="10"/>
      <c r="H56" s="10"/>
      <c r="I56" s="10"/>
      <c r="J56" s="10"/>
      <c r="K56" s="10"/>
      <c r="L56" s="10"/>
      <c r="M56" s="10"/>
      <c r="N56" s="10"/>
      <c r="O56" s="10" t="str">
        <f>IFERROR(__xludf.DUMMYFUNCTION("IF(N56="""", """", GOOGLETRANSLATE(N56, ""en"", ""fr""))"),"")</f>
        <v/>
      </c>
      <c r="P56" s="10" t="str">
        <f>IFERROR(__xludf.DUMMYFUNCTION("IF(N56="""", """", GOOGLETRANSLATE(N56, ""en"", ""ht""))"),"")</f>
        <v/>
      </c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</row>
    <row r="57" ht="14.25" customHeight="1">
      <c r="A57" s="20" t="s">
        <v>63</v>
      </c>
      <c r="B57" s="20"/>
      <c r="C57" s="10"/>
      <c r="D57" s="10" t="str">
        <f>IFERROR(__xludf.DUMMYFUNCTION("IF(C57="""", """", GOOGLETRANSLATE(C57, ""en"", ""fr""))"),"")</f>
        <v/>
      </c>
      <c r="E57" s="10" t="str">
        <f>IFERROR(__xludf.DUMMYFUNCTION("IF(C57="""", """", GOOGLETRANSLATE(C57, ""en"", ""ht""))"),"")</f>
        <v/>
      </c>
      <c r="F57" s="10"/>
      <c r="G57" s="10"/>
      <c r="H57" s="10"/>
      <c r="I57" s="10"/>
      <c r="J57" s="10"/>
      <c r="K57" s="10"/>
      <c r="L57" s="10"/>
      <c r="M57" s="10"/>
      <c r="N57" s="10"/>
      <c r="O57" s="10" t="str">
        <f>IFERROR(__xludf.DUMMYFUNCTION("IF(N57="""", """", GOOGLETRANSLATE(N57, ""en"", ""fr""))"),"")</f>
        <v/>
      </c>
      <c r="P57" s="10" t="str">
        <f>IFERROR(__xludf.DUMMYFUNCTION("IF(N57="""", """", GOOGLETRANSLATE(N57, ""en"", ""ht""))"),"")</f>
        <v/>
      </c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</row>
    <row r="58" ht="14.25" customHeight="1">
      <c r="A58" s="4"/>
      <c r="B58" s="4"/>
      <c r="C58" s="4"/>
      <c r="D58" s="10" t="str">
        <f>IFERROR(__xludf.DUMMYFUNCTION("IF(C58="""", """", GOOGLETRANSLATE(C58, ""en"", ""fr""))"),"")</f>
        <v/>
      </c>
      <c r="E58" s="19" t="str">
        <f>IFERROR(__xludf.DUMMYFUNCTION("IF(C58="""", """", GOOGLETRANSLATE(C58, ""en"", ""ht""))"),"")</f>
        <v/>
      </c>
      <c r="F58" s="4"/>
      <c r="G58" s="4"/>
      <c r="H58" s="4"/>
      <c r="I58" s="4"/>
      <c r="J58" s="4"/>
      <c r="K58" s="4"/>
      <c r="L58" s="4"/>
      <c r="M58" s="4"/>
      <c r="N58" s="4"/>
      <c r="O58" s="10" t="str">
        <f>IFERROR(__xludf.DUMMYFUNCTION("IF(N58="""", """", GOOGLETRANSLATE(N58, ""en"", ""fr""))"),"")</f>
        <v/>
      </c>
      <c r="P58" s="19" t="str">
        <f>IFERROR(__xludf.DUMMYFUNCTION("IF(N58="""", """", GOOGLETRANSLATE(N58, ""en"", ""ht""))"),"")</f>
        <v/>
      </c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 ht="14.25" customHeight="1">
      <c r="A59" s="20" t="s">
        <v>29</v>
      </c>
      <c r="B59" s="20" t="s">
        <v>113</v>
      </c>
      <c r="C59" s="10" t="s">
        <v>33</v>
      </c>
      <c r="D59" s="10" t="str">
        <f>IFERROR(__xludf.DUMMYFUNCTION("IF(C59="""", """", GOOGLETRANSLATE(C59, ""en"", ""fr""))"),"SANS ÉTIQUETTE")</f>
        <v>SANS ÉTIQUETTE</v>
      </c>
      <c r="E59" s="10" t="str">
        <f>IFERROR(__xludf.DUMMYFUNCTION("IF(C59="""", """", GOOGLETRANSLATE(C59, ""en"", ""ht""))"),"PA GEN_ETIKÈT")</f>
        <v>PA GEN_ETIKÈT</v>
      </c>
      <c r="F59" s="10"/>
      <c r="G59" s="10"/>
      <c r="H59" s="10" t="s">
        <v>74</v>
      </c>
      <c r="I59" s="10"/>
      <c r="J59" s="10"/>
      <c r="K59" s="10"/>
      <c r="L59" s="10"/>
      <c r="M59" s="10"/>
      <c r="N59" s="10"/>
      <c r="O59" s="10" t="str">
        <f>IFERROR(__xludf.DUMMYFUNCTION("IF(N59="""", """", GOOGLETRANSLATE(N59, ""en"", ""fr""))"),"")</f>
        <v/>
      </c>
      <c r="P59" s="10" t="str">
        <f>IFERROR(__xludf.DUMMYFUNCTION("IF(N59="""", """", GOOGLETRANSLATE(N59, ""en"", ""ht""))"),"")</f>
        <v/>
      </c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</row>
    <row r="60" ht="14.25" customHeight="1">
      <c r="A60" s="27" t="s">
        <v>94</v>
      </c>
      <c r="B60" s="20" t="s">
        <v>121</v>
      </c>
      <c r="C60" s="10" t="s">
        <v>33</v>
      </c>
      <c r="D60" s="10" t="str">
        <f>IFERROR(__xludf.DUMMYFUNCTION("IF(C60="""", """", GOOGLETRANSLATE(C60, ""en"", ""fr""))"),"SANS ÉTIQUETTE")</f>
        <v>SANS ÉTIQUETTE</v>
      </c>
      <c r="E60" s="10" t="str">
        <f>IFERROR(__xludf.DUMMYFUNCTION("IF(C60="""", """", GOOGLETRANSLATE(C60, ""en"", ""ht""))"),"PA GEN_ETIKÈT")</f>
        <v>PA GEN_ETIKÈT</v>
      </c>
      <c r="F60" s="10"/>
      <c r="G60" s="10"/>
      <c r="H60" s="10"/>
      <c r="I60" s="10"/>
      <c r="J60" s="10"/>
      <c r="K60" s="10"/>
      <c r="L60" s="10"/>
      <c r="M60" s="10"/>
      <c r="N60" s="10"/>
      <c r="O60" s="10" t="str">
        <f>IFERROR(__xludf.DUMMYFUNCTION("IF(N60="""", """", GOOGLETRANSLATE(N60, ""en"", ""fr""))"),"")</f>
        <v/>
      </c>
      <c r="P60" s="10" t="str">
        <f>IFERROR(__xludf.DUMMYFUNCTION("IF(N60="""", """", GOOGLETRANSLATE(N60, ""en"", ""ht""))"),"")</f>
        <v/>
      </c>
      <c r="Q60" s="10" t="s">
        <v>122</v>
      </c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</row>
    <row r="61" ht="14.25" customHeight="1">
      <c r="A61" s="27" t="s">
        <v>94</v>
      </c>
      <c r="B61" s="20" t="s">
        <v>2</v>
      </c>
      <c r="C61" s="10" t="s">
        <v>33</v>
      </c>
      <c r="D61" s="10" t="str">
        <f>IFERROR(__xludf.DUMMYFUNCTION("IF(C61="""", """", GOOGLETRANSLATE(C61, ""en"", ""fr""))"),"SANS ÉTIQUETTE")</f>
        <v>SANS ÉTIQUETTE</v>
      </c>
      <c r="E61" s="10" t="str">
        <f>IFERROR(__xludf.DUMMYFUNCTION("IF(C61="""", """", GOOGLETRANSLATE(C61, ""en"", ""ht""))"),"PA GEN_ETIKÈT")</f>
        <v>PA GEN_ETIKÈT</v>
      </c>
      <c r="F61" s="10"/>
      <c r="G61" s="10"/>
      <c r="H61" s="10"/>
      <c r="I61" s="10"/>
      <c r="J61" s="10"/>
      <c r="K61" s="10"/>
      <c r="L61" s="10"/>
      <c r="M61" s="10"/>
      <c r="N61" s="10"/>
      <c r="O61" s="10" t="str">
        <f>IFERROR(__xludf.DUMMYFUNCTION("IF(N61="""", """", GOOGLETRANSLATE(N61, ""en"", ""fr""))"),"")</f>
        <v/>
      </c>
      <c r="P61" s="10" t="str">
        <f>IFERROR(__xludf.DUMMYFUNCTION("IF(N61="""", """", GOOGLETRANSLATE(N61, ""en"", ""ht""))"),"")</f>
        <v/>
      </c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</row>
    <row r="62" ht="14.25" customHeight="1">
      <c r="A62" s="20" t="s">
        <v>199</v>
      </c>
      <c r="B62" s="20" t="s">
        <v>200</v>
      </c>
      <c r="C62" s="10" t="s">
        <v>201</v>
      </c>
      <c r="D62" s="10" t="str">
        <f>IFERROR(__xludf.DUMMYFUNCTION("IF(C62="""", """", GOOGLETRANSLATE(C62, ""en"", ""fr""))"),"Souhaiteriez-vous nommer le lieu d'après le contact principal : « ${generated_name_translation} » ?")</f>
        <v>Souhaiteriez-vous nommer le lieu d'après le contact principal : « ${generated_name_translation} » ?</v>
      </c>
      <c r="E62" s="10" t="str">
        <f>IFERROR(__xludf.DUMMYFUNCTION("IF(C62="""", """", GOOGLETRANSLATE(C62, ""en"", ""ht""))"),"Èske ou ta renmen bay kote a non kontak prensipal la: ""${generated_name_translation}""?")</f>
        <v>Èske ou ta renmen bay kote a non kontak prensipal la: "${generated_name_translation}"?</v>
      </c>
      <c r="F62" s="10" t="s">
        <v>82</v>
      </c>
      <c r="G62" s="10" t="s">
        <v>202</v>
      </c>
      <c r="H62" s="10" t="s">
        <v>83</v>
      </c>
      <c r="I62" s="10"/>
      <c r="J62" s="10"/>
      <c r="K62" s="10"/>
      <c r="L62" s="10"/>
      <c r="M62" s="10"/>
      <c r="N62" s="10"/>
      <c r="O62" s="10" t="str">
        <f>IFERROR(__xludf.DUMMYFUNCTION("IF(N62="""", """", GOOGLETRANSLATE(N62, ""en"", ""fr""))"),"")</f>
        <v/>
      </c>
      <c r="P62" s="10" t="str">
        <f>IFERROR(__xludf.DUMMYFUNCTION("IF(N62="""", """", GOOGLETRANSLATE(N62, ""en"", ""ht""))"),"")</f>
        <v/>
      </c>
      <c r="Q62" s="10" t="s">
        <v>20</v>
      </c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</row>
    <row r="63" ht="14.25" customHeight="1">
      <c r="A63" s="20" t="s">
        <v>97</v>
      </c>
      <c r="B63" s="20" t="s">
        <v>3</v>
      </c>
      <c r="C63" s="10" t="s">
        <v>101</v>
      </c>
      <c r="D63" s="10" t="str">
        <f>IFERROR(__xludf.DUMMYFUNCTION("IF(C63="""", """", GOOGLETRANSLATE(C63, ""en"", ""fr""))"),"Nom")</f>
        <v>Nom</v>
      </c>
      <c r="E63" s="10" t="str">
        <f>IFERROR(__xludf.DUMMYFUNCTION("IF(C63="""", """", GOOGLETRANSLATE(C63, ""en"", ""ht""))"),"Non")</f>
        <v>Non</v>
      </c>
      <c r="F63" s="10" t="s">
        <v>82</v>
      </c>
      <c r="G63" s="10"/>
      <c r="H63" s="10"/>
      <c r="I63" s="10"/>
      <c r="J63" s="10"/>
      <c r="K63" s="24"/>
      <c r="L63" s="10" t="s">
        <v>203</v>
      </c>
      <c r="M63" s="10"/>
      <c r="N63" s="10"/>
      <c r="O63" s="10" t="str">
        <f>IFERROR(__xludf.DUMMYFUNCTION("IF(N63="""", """", GOOGLETRANSLATE(N63, ""en"", ""fr""))"),"")</f>
        <v/>
      </c>
      <c r="P63" s="10" t="str">
        <f>IFERROR(__xludf.DUMMYFUNCTION("IF(N63="""", """", GOOGLETRANSLATE(N63, ""en"", ""ht""))"),"")</f>
        <v/>
      </c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</row>
    <row r="64" ht="14.25" customHeight="1">
      <c r="A64" s="20" t="s">
        <v>47</v>
      </c>
      <c r="B64" s="20" t="s">
        <v>185</v>
      </c>
      <c r="C64" s="10" t="s">
        <v>186</v>
      </c>
      <c r="D64" s="10" t="str">
        <f>IFERROR(__xludf.DUMMYFUNCTION("IF(C64="""", """", GOOGLETRANSLATE(C64, ""en"", ""fr""))"),"ID externe")</f>
        <v>ID externe</v>
      </c>
      <c r="E64" s="10" t="str">
        <f>IFERROR(__xludf.DUMMYFUNCTION("IF(C64="""", """", GOOGLETRANSLATE(C64, ""en"", ""ht""))"),"ID ekstèn")</f>
        <v>ID ekstèn</v>
      </c>
      <c r="F64" s="10"/>
      <c r="G64" s="10"/>
      <c r="H64" s="10"/>
      <c r="I64" s="10"/>
      <c r="J64" s="10"/>
      <c r="K64" s="10"/>
      <c r="L64" s="10"/>
      <c r="M64" s="10"/>
      <c r="N64" s="10"/>
      <c r="O64" s="10" t="str">
        <f>IFERROR(__xludf.DUMMYFUNCTION("IF(N64="""", """", GOOGLETRANSLATE(N64, ""en"", ""fr""))"),"")</f>
        <v/>
      </c>
      <c r="P64" s="10" t="str">
        <f>IFERROR(__xludf.DUMMYFUNCTION("IF(N64="""", """", GOOGLETRANSLATE(N64, ""en"", ""ht""))"),"")</f>
        <v/>
      </c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</row>
    <row r="65" ht="14.25" customHeight="1">
      <c r="A65" s="20" t="s">
        <v>47</v>
      </c>
      <c r="B65" s="20" t="s">
        <v>28</v>
      </c>
      <c r="C65" s="10" t="s">
        <v>187</v>
      </c>
      <c r="D65" s="10" t="str">
        <f>IFERROR(__xludf.DUMMYFUNCTION("IF(C65="""", """", GOOGLETRANSLATE(C65, ""en"", ""fr""))"),"Notes")</f>
        <v>Notes</v>
      </c>
      <c r="E65" s="10" t="str">
        <f>IFERROR(__xludf.DUMMYFUNCTION("IF(C65="""", """", GOOGLETRANSLATE(C65, ""en"", ""ht""))"),"Nòt")</f>
        <v>Nòt</v>
      </c>
      <c r="F65" s="10"/>
      <c r="G65" s="10"/>
      <c r="H65" s="10" t="s">
        <v>188</v>
      </c>
      <c r="I65" s="10"/>
      <c r="J65" s="10"/>
      <c r="K65" s="10"/>
      <c r="L65" s="10"/>
      <c r="M65" s="10"/>
      <c r="N65" s="10"/>
      <c r="O65" s="10" t="str">
        <f>IFERROR(__xludf.DUMMYFUNCTION("IF(N65="""", """", GOOGLETRANSLATE(N65, ""en"", ""fr""))"),"")</f>
        <v/>
      </c>
      <c r="P65" s="10" t="str">
        <f>IFERROR(__xludf.DUMMYFUNCTION("IF(N65="""", """", GOOGLETRANSLATE(N65, ""en"", ""ht""))"),"")</f>
        <v/>
      </c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</row>
    <row r="66" ht="14.25" customHeight="1">
      <c r="A66" s="20" t="s">
        <v>97</v>
      </c>
      <c r="B66" s="20" t="s">
        <v>41</v>
      </c>
      <c r="C66" s="10"/>
      <c r="D66" s="10" t="str">
        <f>IFERROR(__xludf.DUMMYFUNCTION("IF(C66="""", """", GOOGLETRANSLATE(C66, ""en"", ""fr""))"),"")</f>
        <v/>
      </c>
      <c r="E66" s="10" t="str">
        <f>IFERROR(__xludf.DUMMYFUNCTION("IF(C66="""", """", GOOGLETRANSLATE(C66, ""en"", ""ht""))"),"")</f>
        <v/>
      </c>
      <c r="F66" s="10"/>
      <c r="G66" s="10"/>
      <c r="H66" s="10"/>
      <c r="I66" s="10"/>
      <c r="J66" s="10"/>
      <c r="K66" s="10"/>
      <c r="L66" s="10" t="s">
        <v>204</v>
      </c>
      <c r="M66" s="10"/>
      <c r="N66" s="10"/>
      <c r="O66" s="10" t="str">
        <f>IFERROR(__xludf.DUMMYFUNCTION("IF(N66="""", """", GOOGLETRANSLATE(N66, ""en"", ""fr""))"),"")</f>
        <v/>
      </c>
      <c r="P66" s="10" t="str">
        <f>IFERROR(__xludf.DUMMYFUNCTION("IF(N66="""", """", GOOGLETRANSLATE(N66, ""en"", ""ht""))"),"")</f>
        <v/>
      </c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</row>
    <row r="67" ht="14.25" customHeight="1">
      <c r="A67" s="20" t="s">
        <v>97</v>
      </c>
      <c r="B67" s="20" t="s">
        <v>205</v>
      </c>
      <c r="C67" s="10"/>
      <c r="D67" s="10" t="str">
        <f>IFERROR(__xludf.DUMMYFUNCTION("IF(C67="""", """", GOOGLETRANSLATE(C67, ""en"", ""fr""))"),"")</f>
        <v/>
      </c>
      <c r="E67" s="10" t="str">
        <f>IFERROR(__xludf.DUMMYFUNCTION("IF(C67="""", """", GOOGLETRANSLATE(C67, ""en"", ""ht""))"),"")</f>
        <v/>
      </c>
      <c r="F67" s="10"/>
      <c r="G67" s="10"/>
      <c r="H67" s="10"/>
      <c r="I67" s="10"/>
      <c r="J67" s="10"/>
      <c r="K67" s="10"/>
      <c r="L67" s="10" t="s">
        <v>206</v>
      </c>
      <c r="M67" s="10"/>
      <c r="N67" s="10"/>
      <c r="O67" s="10" t="str">
        <f>IFERROR(__xludf.DUMMYFUNCTION("IF(N67="""", """", GOOGLETRANSLATE(N67, ""en"", ""fr""))"),"")</f>
        <v/>
      </c>
      <c r="P67" s="10" t="str">
        <f>IFERROR(__xludf.DUMMYFUNCTION("IF(N67="""", """", GOOGLETRANSLATE(N67, ""en"", ""ht""))"),"")</f>
        <v/>
      </c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</row>
    <row r="68" ht="14.25" customHeight="1">
      <c r="A68" s="20" t="s">
        <v>29</v>
      </c>
      <c r="B68" s="20" t="s">
        <v>192</v>
      </c>
      <c r="C68" s="10" t="s">
        <v>33</v>
      </c>
      <c r="D68" s="10" t="str">
        <f>IFERROR(__xludf.DUMMYFUNCTION("IF(C68="""", """", GOOGLETRANSLATE(C68, ""en"", ""fr""))"),"SANS ÉTIQUETTE")</f>
        <v>SANS ÉTIQUETTE</v>
      </c>
      <c r="E68" s="10" t="str">
        <f>IFERROR(__xludf.DUMMYFUNCTION("IF(C68="""", """", GOOGLETRANSLATE(C68, ""en"", ""ht""))"),"PA GEN_ETIKÈT")</f>
        <v>PA GEN_ETIKÈT</v>
      </c>
      <c r="F68" s="10"/>
      <c r="G68" s="10"/>
      <c r="H68" s="10" t="s">
        <v>94</v>
      </c>
      <c r="I68" s="10"/>
      <c r="J68" s="10"/>
      <c r="K68" s="10"/>
      <c r="L68" s="10"/>
      <c r="M68" s="10"/>
      <c r="N68" s="10"/>
      <c r="O68" s="10" t="str">
        <f>IFERROR(__xludf.DUMMYFUNCTION("IF(N68="""", """", GOOGLETRANSLATE(N68, ""en"", ""fr""))"),"")</f>
        <v/>
      </c>
      <c r="P68" s="10" t="str">
        <f>IFERROR(__xludf.DUMMYFUNCTION("IF(N68="""", """", GOOGLETRANSLATE(N68, ""en"", ""ht""))"),"")</f>
        <v/>
      </c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</row>
    <row r="69" ht="14.25" customHeight="1">
      <c r="A69" s="20" t="s">
        <v>97</v>
      </c>
      <c r="B69" s="20" t="s">
        <v>193</v>
      </c>
      <c r="C69" s="10"/>
      <c r="D69" s="10" t="str">
        <f>IFERROR(__xludf.DUMMYFUNCTION("IF(C69="""", """", GOOGLETRANSLATE(C69, ""en"", ""fr""))"),"")</f>
        <v/>
      </c>
      <c r="E69" s="10" t="str">
        <f>IFERROR(__xludf.DUMMYFUNCTION("IF(C69="""", """", GOOGLETRANSLATE(C69, ""en"", ""ht""))"),"")</f>
        <v/>
      </c>
      <c r="F69" s="10"/>
      <c r="G69" s="10"/>
      <c r="H69" s="10"/>
      <c r="I69" s="10"/>
      <c r="J69" s="10"/>
      <c r="K69" s="10"/>
      <c r="L69" s="10" t="s">
        <v>194</v>
      </c>
      <c r="M69" s="10"/>
      <c r="N69" s="10"/>
      <c r="O69" s="10" t="str">
        <f>IFERROR(__xludf.DUMMYFUNCTION("IF(N69="""", """", GOOGLETRANSLATE(N69, ""en"", ""fr""))"),"")</f>
        <v/>
      </c>
      <c r="P69" s="10" t="str">
        <f>IFERROR(__xludf.DUMMYFUNCTION("IF(N69="""", """", GOOGLETRANSLATE(N69, ""en"", ""ht""))"),"")</f>
        <v/>
      </c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</row>
    <row r="70" ht="14.25" customHeight="1">
      <c r="A70" s="20" t="s">
        <v>97</v>
      </c>
      <c r="B70" s="20" t="s">
        <v>195</v>
      </c>
      <c r="C70" s="10"/>
      <c r="D70" s="10" t="str">
        <f>IFERROR(__xludf.DUMMYFUNCTION("IF(C70="""", """", GOOGLETRANSLATE(C70, ""en"", ""fr""))"),"")</f>
        <v/>
      </c>
      <c r="E70" s="10" t="str">
        <f>IFERROR(__xludf.DUMMYFUNCTION("IF(C70="""", """", GOOGLETRANSLATE(C70, ""en"", ""ht""))"),"")</f>
        <v/>
      </c>
      <c r="F70" s="10"/>
      <c r="G70" s="10"/>
      <c r="H70" s="10"/>
      <c r="I70" s="10"/>
      <c r="J70" s="10"/>
      <c r="K70" s="10"/>
      <c r="L70" s="10" t="s">
        <v>196</v>
      </c>
      <c r="M70" s="10"/>
      <c r="N70" s="10"/>
      <c r="O70" s="10" t="str">
        <f>IFERROR(__xludf.DUMMYFUNCTION("IF(N70="""", """", GOOGLETRANSLATE(N70, ""en"", ""fr""))"),"")</f>
        <v/>
      </c>
      <c r="P70" s="10" t="str">
        <f>IFERROR(__xludf.DUMMYFUNCTION("IF(N70="""", """", GOOGLETRANSLATE(N70, ""en"", ""ht""))"),"")</f>
        <v/>
      </c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</row>
    <row r="71" ht="14.25" customHeight="1">
      <c r="A71" s="20" t="s">
        <v>97</v>
      </c>
      <c r="B71" s="20" t="s">
        <v>197</v>
      </c>
      <c r="C71" s="10"/>
      <c r="D71" s="10" t="str">
        <f>IFERROR(__xludf.DUMMYFUNCTION("IF(C71="""", """", GOOGLETRANSLATE(C71, ""en"", ""fr""))"),"")</f>
        <v/>
      </c>
      <c r="E71" s="10" t="str">
        <f>IFERROR(__xludf.DUMMYFUNCTION("IF(C71="""", """", GOOGLETRANSLATE(C71, ""en"", ""ht""))"),"")</f>
        <v/>
      </c>
      <c r="F71" s="10"/>
      <c r="G71" s="10"/>
      <c r="H71" s="10"/>
      <c r="I71" s="10"/>
      <c r="J71" s="10"/>
      <c r="K71" s="10"/>
      <c r="L71" s="10" t="s">
        <v>198</v>
      </c>
      <c r="M71" s="10"/>
      <c r="N71" s="10"/>
      <c r="O71" s="10" t="str">
        <f>IFERROR(__xludf.DUMMYFUNCTION("IF(N71="""", """", GOOGLETRANSLATE(N71, ""en"", ""fr""))"),"")</f>
        <v/>
      </c>
      <c r="P71" s="10" t="str">
        <f>IFERROR(__xludf.DUMMYFUNCTION("IF(N71="""", """", GOOGLETRANSLATE(N71, ""en"", ""ht""))"),"")</f>
        <v/>
      </c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</row>
    <row r="72" ht="14.25" customHeight="1">
      <c r="A72" s="20" t="s">
        <v>63</v>
      </c>
      <c r="B72" s="20"/>
      <c r="C72" s="10"/>
      <c r="D72" s="10" t="str">
        <f>IFERROR(__xludf.DUMMYFUNCTION("IF(C72="""", """", GOOGLETRANSLATE(C72, ""en"", ""fr""))"),"")</f>
        <v/>
      </c>
      <c r="E72" s="10" t="str">
        <f>IFERROR(__xludf.DUMMYFUNCTION("IF(C72="""", """", GOOGLETRANSLATE(C72, ""en"", ""ht""))"),"")</f>
        <v/>
      </c>
      <c r="F72" s="10"/>
      <c r="G72" s="10"/>
      <c r="H72" s="10"/>
      <c r="I72" s="10"/>
      <c r="J72" s="10"/>
      <c r="K72" s="10"/>
      <c r="L72" s="10"/>
      <c r="M72" s="10"/>
      <c r="N72" s="10"/>
      <c r="O72" s="10" t="str">
        <f>IFERROR(__xludf.DUMMYFUNCTION("IF(N72="""", """", GOOGLETRANSLATE(N72, ""en"", ""fr""))"),"")</f>
        <v/>
      </c>
      <c r="P72" s="10" t="str">
        <f>IFERROR(__xludf.DUMMYFUNCTION("IF(N72="""", """", GOOGLETRANSLATE(N72, ""en"", ""ht""))"),"")</f>
        <v/>
      </c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</row>
    <row r="73" ht="14.25" customHeight="1">
      <c r="A73" s="20" t="s">
        <v>63</v>
      </c>
      <c r="B73" s="20"/>
      <c r="C73" s="10"/>
      <c r="D73" s="10" t="str">
        <f>IFERROR(__xludf.DUMMYFUNCTION("IF(C73="""", """", GOOGLETRANSLATE(C73, ""en"", ""fr""))"),"")</f>
        <v/>
      </c>
      <c r="E73" s="10" t="str">
        <f>IFERROR(__xludf.DUMMYFUNCTION("IF(C73="""", """", GOOGLETRANSLATE(C73, ""en"", ""ht""))"),"")</f>
        <v/>
      </c>
      <c r="F73" s="10"/>
      <c r="G73" s="10"/>
      <c r="H73" s="10"/>
      <c r="I73" s="10"/>
      <c r="J73" s="10"/>
      <c r="K73" s="10"/>
      <c r="L73" s="10"/>
      <c r="M73" s="10"/>
      <c r="N73" s="10"/>
      <c r="O73" s="10" t="str">
        <f>IFERROR(__xludf.DUMMYFUNCTION("IF(N73="""", """", GOOGLETRANSLATE(N73, ""en"", ""fr""))"),"")</f>
        <v/>
      </c>
      <c r="P73" s="10" t="str">
        <f>IFERROR(__xludf.DUMMYFUNCTION("IF(N73="""", """", GOOGLETRANSLATE(N73, ""en"", ""ht""))"),"")</f>
        <v/>
      </c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</row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14"/>
    <col customWidth="1" min="2" max="2" width="14.43"/>
    <col customWidth="1" min="3" max="3" width="29.0"/>
    <col customWidth="1" min="4" max="4" width="14.29"/>
    <col customWidth="1" min="5" max="8" width="7.71"/>
    <col customWidth="1" min="9" max="21" width="15.14"/>
  </cols>
  <sheetData>
    <row r="1" ht="14.25" customHeight="1">
      <c r="A1" s="1" t="s">
        <v>0</v>
      </c>
      <c r="B1" s="1" t="s">
        <v>3</v>
      </c>
      <c r="C1" s="1" t="s">
        <v>4</v>
      </c>
      <c r="D1" s="3" t="s">
        <v>8</v>
      </c>
      <c r="E1" s="5" t="s">
        <v>10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</row>
    <row r="2" ht="14.25" customHeight="1">
      <c r="A2" s="7" t="s">
        <v>17</v>
      </c>
      <c r="B2" s="7" t="s">
        <v>20</v>
      </c>
      <c r="C2" s="7" t="s">
        <v>22</v>
      </c>
      <c r="D2" s="10" t="str">
        <f>IFERROR(__xludf.DUMMYFUNCTION("IF(C2="""", """", GOOGLETRANSLATE(C2, ""en"", ""fr""))"),"Oui")</f>
        <v>Oui</v>
      </c>
      <c r="E2" s="4" t="str">
        <f>IFERROR(__xludf.DUMMYFUNCTION("IF(C2="""", """", GOOGLETRANSLATE(C2, ""en"", ""ht""))"),"Wi")</f>
        <v>Wi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</row>
    <row r="3" ht="14.25" customHeight="1">
      <c r="A3" s="7" t="s">
        <v>17</v>
      </c>
      <c r="B3" s="7" t="s">
        <v>34</v>
      </c>
      <c r="C3" s="7" t="s">
        <v>35</v>
      </c>
      <c r="D3" s="10" t="str">
        <f>IFERROR(__xludf.DUMMYFUNCTION("IF(C3="""", """", GOOGLETRANSLATE(C3, ""en"", ""fr""))"),"Non")</f>
        <v>Non</v>
      </c>
      <c r="E3" s="4" t="str">
        <f>IFERROR(__xludf.DUMMYFUNCTION("IF(C3="""", """", GOOGLETRANSLATE(C3, ""en"", ""ht""))"),"Non")</f>
        <v>Non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</row>
    <row r="4" ht="14.25" customHeight="1">
      <c r="A4" s="7" t="s">
        <v>36</v>
      </c>
      <c r="B4" s="7" t="s">
        <v>37</v>
      </c>
      <c r="C4" s="7" t="s">
        <v>38</v>
      </c>
      <c r="D4" s="10" t="str">
        <f>IFERROR(__xludf.DUMMYFUNCTION("IF(C4="""", """", GOOGLETRANSLATE(C4, ""en"", ""fr""))"),"Femelle")</f>
        <v>Femelle</v>
      </c>
      <c r="E4" s="4" t="str">
        <f>IFERROR(__xludf.DUMMYFUNCTION("IF(C4="""", """", GOOGLETRANSLATE(C4, ""en"", ""ht""))"),"Fi")</f>
        <v>Fi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ht="14.25" customHeight="1">
      <c r="A5" s="7" t="s">
        <v>36</v>
      </c>
      <c r="B5" s="7" t="s">
        <v>39</v>
      </c>
      <c r="C5" s="7" t="s">
        <v>40</v>
      </c>
      <c r="D5" s="10" t="str">
        <f>IFERROR(__xludf.DUMMYFUNCTION("IF(C5="""", """", GOOGLETRANSLATE(C5, ""en"", ""fr""))"),"Mâle")</f>
        <v>Mâle</v>
      </c>
      <c r="E5" s="4" t="str">
        <f>IFERROR(__xludf.DUMMYFUNCTION("IF(C5="""", """", GOOGLETRANSLATE(C5, ""en"", ""ht""))"),"Gason")</f>
        <v>Gason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6" ht="14.25" customHeight="1">
      <c r="A6" s="7" t="s">
        <v>41</v>
      </c>
      <c r="B6" s="12" t="s">
        <v>42</v>
      </c>
      <c r="C6" s="13" t="s">
        <v>43</v>
      </c>
      <c r="D6" s="10" t="str">
        <f>IFERROR(__xludf.DUMMYFUNCTION("IF(C6="""", """", GOOGLETRANSLATE(C6, ""en"", ""fr""))"),"Créer une nouvelle personne")</f>
        <v>Créer une nouvelle personne</v>
      </c>
      <c r="E6" s="4" t="str">
        <f>IFERROR(__xludf.DUMMYFUNCTION("IF(C6="""", """", GOOGLETRANSLATE(C6, ""en"", ""ht""))"),"Kreye yon nouvo moun")</f>
        <v>Kreye yon nouvo moun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</row>
    <row r="7" ht="14.25" customHeight="1">
      <c r="A7" s="7" t="s">
        <v>41</v>
      </c>
      <c r="B7" s="12" t="s">
        <v>45</v>
      </c>
      <c r="C7" s="13" t="s">
        <v>46</v>
      </c>
      <c r="D7" s="10" t="str">
        <f>IFERROR(__xludf.DUMMYFUNCTION("IF(C7="""", """", GOOGLETRANSLATE(C7, ""en"", ""fr""))"),"Sélectionnez une personne existante")</f>
        <v>Sélectionnez une personne existante</v>
      </c>
      <c r="E7" s="4" t="str">
        <f>IFERROR(__xludf.DUMMYFUNCTION("IF(C7="""", """", GOOGLETRANSLATE(C7, ""en"", ""ht""))"),"Chwazi yon moun ki deja egziste")</f>
        <v>Chwazi yon moun ki deja egziste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</row>
    <row r="8" ht="14.25" customHeight="1">
      <c r="A8" s="7" t="s">
        <v>41</v>
      </c>
      <c r="B8" s="12" t="s">
        <v>49</v>
      </c>
      <c r="C8" s="13" t="s">
        <v>50</v>
      </c>
      <c r="D8" s="10" t="str">
        <f>IFERROR(__xludf.DUMMYFUNCTION("IF(C8="""", """", GOOGLETRANSLATE(C8, ""en"", ""fr""))"),"Passez cette étape")</f>
        <v>Passez cette étape</v>
      </c>
      <c r="E8" s="4" t="str">
        <f>IFERROR(__xludf.DUMMYFUNCTION("IF(C8="""", """", GOOGLETRANSLATE(C8, ""en"", ""ht""))"),"Sote etap sa a")</f>
        <v>Sote etap sa a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</row>
    <row r="9" ht="14.25" customHeight="1">
      <c r="A9" s="4" t="s">
        <v>51</v>
      </c>
      <c r="B9" s="12" t="s">
        <v>52</v>
      </c>
      <c r="C9" s="13" t="s">
        <v>53</v>
      </c>
      <c r="D9" s="10" t="str">
        <f>IFERROR(__xludf.DUMMYFUNCTION("IF(C9="""", """", GOOGLETRANSLATE(C9, ""en"", ""fr""))"),"Date de naissance inconnue")</f>
        <v>Date de naissance inconnue</v>
      </c>
      <c r="E9" s="4" t="str">
        <f>IFERROR(__xludf.DUMMYFUNCTION("IF(C9="""", """", GOOGLETRANSLATE(C9, ""en"", ""ht""))"),"Dat nesans enkoni")</f>
        <v>Dat nesans enkoni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</row>
    <row r="10" ht="14.25" customHeight="1">
      <c r="A10" s="5" t="s">
        <v>56</v>
      </c>
      <c r="B10" s="14" t="s">
        <v>57</v>
      </c>
      <c r="C10" s="15" t="s">
        <v>58</v>
      </c>
      <c r="D10" s="10" t="str">
        <f>IFERROR(__xludf.DUMMYFUNCTION("IF(C10="""", """", GOOGLETRANSLATE(C10, ""en"", ""fr""))"),"Chargé de programme")</f>
        <v>Chargé de programme</v>
      </c>
      <c r="E10" s="4" t="str">
        <f>IFERROR(__xludf.DUMMYFUNCTION("IF(C10="""", """", GOOGLETRANSLATE(C10, ""en"", ""ht""))"),"Ofisye Pwogram nan")</f>
        <v>Ofisye Pwogram nan</v>
      </c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</row>
    <row r="11" ht="14.25" customHeight="1">
      <c r="A11" s="4" t="s">
        <v>56</v>
      </c>
      <c r="B11" s="12" t="s">
        <v>60</v>
      </c>
      <c r="C11" s="13" t="s">
        <v>61</v>
      </c>
      <c r="D11" s="10" t="str">
        <f>IFERROR(__xludf.DUMMYFUNCTION("IF(C11="""", """", GOOGLETRANSLATE(C11, ""en"", ""fr""))"),"Infirmière")</f>
        <v>Infirmière</v>
      </c>
      <c r="E11" s="4" t="str">
        <f>IFERROR(__xludf.DUMMYFUNCTION("IF(C11="""", """", GOOGLETRANSLATE(C11, ""en"", ""ht""))"),"Enfimyè")</f>
        <v>Enfimyè</v>
      </c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</row>
    <row r="12" ht="14.25" customHeight="1">
      <c r="A12" s="16" t="s">
        <v>56</v>
      </c>
      <c r="B12" s="12" t="s">
        <v>64</v>
      </c>
      <c r="C12" s="17" t="s">
        <v>65</v>
      </c>
      <c r="D12" s="18" t="str">
        <f>IFERROR(__xludf.DUMMYFUNCTION("GOOGLETRANSLATE(C12, ""en"", ""fr"")"),"Entrepreneur en santé communautaire")</f>
        <v>Entrepreneur en santé communautaire</v>
      </c>
      <c r="E12" s="16" t="str">
        <f>IFERROR(__xludf.DUMMYFUNCTION("GOOGLETRANSLATE(C12, ""en"", ""ht"")"),"Antreprenè Sante Kominotè")</f>
        <v>Antreprenè Sante Kominotè</v>
      </c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</row>
    <row r="13" ht="14.25" customHeight="1">
      <c r="A13" s="4" t="s">
        <v>56</v>
      </c>
      <c r="B13" s="14" t="s">
        <v>66</v>
      </c>
      <c r="C13" s="15" t="s">
        <v>67</v>
      </c>
      <c r="D13" s="10" t="str">
        <f>IFERROR(__xludf.DUMMYFUNCTION("IF(C13="""", """", GOOGLETRANSLATE(C13, ""en"", ""fr""))"),"Infirmière superviseure")</f>
        <v>Infirmière superviseure</v>
      </c>
      <c r="E13" s="4" t="str">
        <f>IFERROR(__xludf.DUMMYFUNCTION("IF(C13="""", """", GOOGLETRANSLATE(C13, ""en"", ""ht""))"),"Sipèvizè Enfimyè")</f>
        <v>Sipèvizè Enfimyè</v>
      </c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</row>
    <row r="14" ht="14.25" customHeight="1">
      <c r="A14" s="4" t="s">
        <v>56</v>
      </c>
      <c r="B14" s="4" t="s">
        <v>68</v>
      </c>
      <c r="C14" s="4" t="s">
        <v>69</v>
      </c>
      <c r="D14" s="10" t="str">
        <f>IFERROR(__xludf.DUMMYFUNCTION("IF(C14="""", """", GOOGLETRANSLATE(C14, ""en"", ""fr""))"),"Patient")</f>
        <v>Patient</v>
      </c>
      <c r="E14" s="4" t="str">
        <f>IFERROR(__xludf.DUMMYFUNCTION("IF(C14="""", """", GOOGLETRANSLATE(C14, ""en"", ""ht""))"),"Pasyan")</f>
        <v>Pasyan</v>
      </c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</row>
    <row r="15" ht="14.25" customHeight="1">
      <c r="A15" s="4" t="s">
        <v>56</v>
      </c>
      <c r="B15" s="12" t="s">
        <v>70</v>
      </c>
      <c r="C15" s="13" t="s">
        <v>71</v>
      </c>
      <c r="D15" s="10" t="str">
        <f>IFERROR(__xludf.DUMMYFUNCTION("IF(C15="""", """", GOOGLETRANSLATE(C15, ""en"", ""fr""))"),"Autre")</f>
        <v>Autre</v>
      </c>
      <c r="E15" s="4" t="str">
        <f>IFERROR(__xludf.DUMMYFUNCTION("IF(C15="""", """", GOOGLETRANSLATE(C15, ""en"", ""ht""))"),"Lòt")</f>
        <v>Lòt</v>
      </c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</row>
    <row r="16" ht="14.25" customHeight="1">
      <c r="A16" s="7" t="s">
        <v>73</v>
      </c>
      <c r="B16" s="7" t="s">
        <v>20</v>
      </c>
      <c r="C16" s="7" t="s">
        <v>22</v>
      </c>
      <c r="D16" s="10" t="str">
        <f>IFERROR(__xludf.DUMMYFUNCTION("IF(C16="""", """", GOOGLETRANSLATE(C16, ""en"", ""fr""))"),"Oui")</f>
        <v>Oui</v>
      </c>
      <c r="E16" s="4" t="str">
        <f>IFERROR(__xludf.DUMMYFUNCTION("IF(C16="""", """", GOOGLETRANSLATE(C16, ""en"", ""ht""))"),"Wi")</f>
        <v>Wi</v>
      </c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</row>
    <row r="17" ht="14.25" customHeight="1">
      <c r="A17" s="7" t="s">
        <v>73</v>
      </c>
      <c r="B17" s="7" t="s">
        <v>34</v>
      </c>
      <c r="C17" s="7" t="s">
        <v>75</v>
      </c>
      <c r="D17" s="10" t="str">
        <f>IFERROR(__xludf.DUMMYFUNCTION("IF(C17="""", """", GOOGLETRANSLATE(C17, ""en"", ""fr""))"),"Non, je veux le nommer manuellement.")</f>
        <v>Non, je veux le nommer manuellement.</v>
      </c>
      <c r="E17" s="4" t="str">
        <f>IFERROR(__xludf.DUMMYFUNCTION("IF(C17="""", """", GOOGLETRANSLATE(C17, ""en"", ""ht""))"),"Non, mwen vle bay li yon non manyèlman.")</f>
        <v>Non, mwen vle bay li yon non manyèlman.</v>
      </c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</row>
    <row r="18" ht="14.25" customHeight="1">
      <c r="A18" s="4" t="s">
        <v>79</v>
      </c>
      <c r="B18" s="12" t="s">
        <v>80</v>
      </c>
      <c r="C18" s="17" t="s">
        <v>81</v>
      </c>
      <c r="D18" s="10" t="str">
        <f>IFERROR(__xludf.DUMMYFUNCTION("IF(C18="""", """", GOOGLETRANSLATE(C18, ""en"", ""fr""))"),"Département du pays")</f>
        <v>Département du pays</v>
      </c>
      <c r="E18" s="4" t="str">
        <f>IFERROR(__xludf.DUMMYFUNCTION("IF(C18="""", """", GOOGLETRANSLATE(C18, ""en"", ""ht""))"),"Depatman Peyi a")</f>
        <v>Depatman Peyi a</v>
      </c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</row>
    <row r="19" ht="14.25" customHeight="1">
      <c r="A19" s="4" t="s">
        <v>79</v>
      </c>
      <c r="B19" s="12" t="s">
        <v>84</v>
      </c>
      <c r="C19" s="17" t="s">
        <v>85</v>
      </c>
      <c r="D19" s="10" t="str">
        <f>IFERROR(__xludf.DUMMYFUNCTION("IF(C19="""", """", GOOGLETRANSLATE(C19, ""en"", ""fr""))"),"Région de supervision")</f>
        <v>Région de supervision</v>
      </c>
      <c r="E19" s="4" t="str">
        <f>IFERROR(__xludf.DUMMYFUNCTION("IF(C19="""", """", GOOGLETRANSLATE(C19, ""en"", ""ht""))"),"Rejyon Sipèvizè")</f>
        <v>Rejyon Sipèvizè</v>
      </c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</row>
    <row r="20" ht="14.25" customHeight="1">
      <c r="A20" s="4" t="s">
        <v>79</v>
      </c>
      <c r="B20" s="12" t="s">
        <v>90</v>
      </c>
      <c r="C20" s="17" t="s">
        <v>91</v>
      </c>
      <c r="D20" s="10" t="str">
        <f>IFERROR(__xludf.DUMMYFUNCTION("IF(C20="""", """", GOOGLETRANSLATE(C20, ""en"", ""fr""))"),"Zone infirmière")</f>
        <v>Zone infirmière</v>
      </c>
      <c r="E20" s="4" t="str">
        <f>IFERROR(__xludf.DUMMYFUNCTION("IF(C20="""", """", GOOGLETRANSLATE(C20, ""en"", ""ht""))"),"Zòn Enfimyè")</f>
        <v>Zòn Enfimyè</v>
      </c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</row>
    <row r="21" ht="14.25" customHeight="1">
      <c r="A21" s="4" t="s">
        <v>92</v>
      </c>
      <c r="B21" s="12" t="s">
        <v>80</v>
      </c>
      <c r="C21" s="17" t="s">
        <v>93</v>
      </c>
      <c r="D21" s="10" t="str">
        <f>IFERROR(__xludf.DUMMYFUNCTION("IF(C21="""", """", GOOGLETRANSLATE(C21, ""en"", ""fr""))"),"Département de ${contact_name}")</f>
        <v>Département de ${contact_name}</v>
      </c>
      <c r="E21" s="4" t="str">
        <f>IFERROR(__xludf.DUMMYFUNCTION("IF(C21="""", """", GOOGLETRANSLATE(C21, ""en"", ""ht""))"),"Depatman ${contact_name} a")</f>
        <v>Depatman ${contact_name} a</v>
      </c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</row>
    <row r="22" ht="14.25" customHeight="1">
      <c r="A22" s="4" t="s">
        <v>92</v>
      </c>
      <c r="B22" s="12" t="s">
        <v>84</v>
      </c>
      <c r="C22" s="17" t="s">
        <v>95</v>
      </c>
      <c r="D22" s="10" t="str">
        <f>IFERROR(__xludf.DUMMYFUNCTION("IF(C22="""", """", GOOGLETRANSLATE(C22, ""en"", ""fr""))"),"Région de ${contact_name}")</f>
        <v>Région de ${contact_name}</v>
      </c>
      <c r="E22" s="4" t="str">
        <f>IFERROR(__xludf.DUMMYFUNCTION("IF(C22="""", """", GOOGLETRANSLATE(C22, ""en"", ""ht""))"),"Rejyon ${contact_name} la")</f>
        <v>Rejyon ${contact_name} la</v>
      </c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</row>
    <row r="23" ht="14.25" customHeight="1">
      <c r="A23" s="4" t="s">
        <v>92</v>
      </c>
      <c r="B23" s="12" t="s">
        <v>90</v>
      </c>
      <c r="C23" s="17" t="s">
        <v>96</v>
      </c>
      <c r="D23" s="10" t="str">
        <f>IFERROR(__xludf.DUMMYFUNCTION("IF(C23="""", """", GOOGLETRANSLATE(C23, ""en"", ""fr""))"),"Zone de ${contact_name}")</f>
        <v>Zone de ${contact_name}</v>
      </c>
      <c r="E23" s="4" t="str">
        <f>IFERROR(__xludf.DUMMYFUNCTION("IF(C23="""", """", GOOGLETRANSLATE(C23, ""en"", ""ht""))"),"Zòn ${contact_name} a")</f>
        <v>Zòn ${contact_name} a</v>
      </c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</row>
    <row r="24" ht="14.25" customHeight="1">
      <c r="A24" s="22" t="s">
        <v>100</v>
      </c>
      <c r="B24" s="12" t="s">
        <v>3</v>
      </c>
      <c r="C24" s="13" t="s">
        <v>101</v>
      </c>
      <c r="D24" s="10" t="str">
        <f>IFERROR(__xludf.DUMMYFUNCTION("IF(C24="""", """", GOOGLETRANSLATE(C24, ""en"", ""fr""))"),"Nom")</f>
        <v>Nom</v>
      </c>
      <c r="E24" s="4" t="str">
        <f>IFERROR(__xludf.DUMMYFUNCTION("IF(C24="""", """", GOOGLETRANSLATE(C24, ""en"", ""ht""))"),"Non")</f>
        <v>Non</v>
      </c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</row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14"/>
    <col customWidth="1" min="2" max="2" width="12.71"/>
    <col customWidth="1" min="3" max="3" width="19.0"/>
    <col customWidth="1" min="4" max="4" width="5.71"/>
    <col customWidth="1" min="5" max="5" width="14.29"/>
    <col customWidth="1" min="6" max="6" width="34.0"/>
    <col customWidth="1" min="7" max="14" width="7.71"/>
    <col customWidth="1" min="15" max="25" width="15.14"/>
  </cols>
  <sheetData>
    <row r="1" ht="14.25" customHeight="1">
      <c r="A1" s="2" t="s">
        <v>1</v>
      </c>
      <c r="B1" s="2" t="s">
        <v>5</v>
      </c>
      <c r="C1" s="2" t="s">
        <v>6</v>
      </c>
      <c r="D1" s="2" t="s">
        <v>7</v>
      </c>
      <c r="E1" s="2" t="s">
        <v>9</v>
      </c>
      <c r="F1" s="2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ht="14.25" customHeight="1">
      <c r="A2" s="4" t="s">
        <v>11</v>
      </c>
      <c r="B2" s="4" t="s">
        <v>13</v>
      </c>
      <c r="C2" s="8" t="str">
        <f>TEXT(NOW(), "yyyy-mm-dd_HH-MM")</f>
        <v>2026-09-24_00-40</v>
      </c>
      <c r="D2" s="4" t="s">
        <v>30</v>
      </c>
      <c r="E2" s="4" t="s">
        <v>31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ht="14.2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ht="14.25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ht="14.25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 ht="14.25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 ht="14.2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 ht="14.2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 ht="14.2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 ht="14.2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ht="14.2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ht="14.2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ht="14.2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ht="14.2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ht="14.2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ht="14.2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ht="14.2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ht="14.2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 ht="14.2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ht="14.2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ht="14.2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