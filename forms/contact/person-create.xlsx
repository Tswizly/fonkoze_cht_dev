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<sst xmlns="http://schemas.openxmlformats.org/spreadsheetml/2006/main" count="403" uniqueCount="274">
  <si>
    <t>type</t>
  </si>
  <si>
    <t>form_title</t>
  </si>
  <si>
    <t>list_name</t>
  </si>
  <si>
    <t>name</t>
  </si>
  <si>
    <t>form_id</t>
  </si>
  <si>
    <t>label::en</t>
  </si>
  <si>
    <t>version</t>
  </si>
  <si>
    <t>style</t>
  </si>
  <si>
    <t>path</t>
  </si>
  <si>
    <t>default_language</t>
  </si>
  <si>
    <t>label::fr</t>
  </si>
  <si>
    <t>New Person</t>
  </si>
  <si>
    <t>label::cr</t>
  </si>
  <si>
    <t>contact:person:create</t>
  </si>
  <si>
    <t>required</t>
  </si>
  <si>
    <t>relevant</t>
  </si>
  <si>
    <t>appearance</t>
  </si>
  <si>
    <t>read_only</t>
  </si>
  <si>
    <t>constraint</t>
  </si>
  <si>
    <t>yes_no</t>
  </si>
  <si>
    <t>constraint_message::en</t>
  </si>
  <si>
    <t>true</t>
  </si>
  <si>
    <t>Yes</t>
  </si>
  <si>
    <t>constraint_message::fr</t>
  </si>
  <si>
    <t>constraint_message::cr</t>
  </si>
  <si>
    <t>Oui</t>
  </si>
  <si>
    <t>calculation</t>
  </si>
  <si>
    <t>choice_filter</t>
  </si>
  <si>
    <t>hint::en</t>
  </si>
  <si>
    <t>hint::fr</t>
  </si>
  <si>
    <t>hint::cr</t>
  </si>
  <si>
    <t>default</t>
  </si>
  <si>
    <t>Wi</t>
  </si>
  <si>
    <t>begin group</t>
  </si>
  <si>
    <t>false</t>
  </si>
  <si>
    <t>No</t>
  </si>
  <si>
    <t>Non</t>
  </si>
  <si>
    <t>inputs</t>
  </si>
  <si>
    <t>male_female</t>
  </si>
  <si>
    <t>female</t>
  </si>
  <si>
    <t>Female</t>
  </si>
  <si>
    <t>NO_LABEL</t>
  </si>
  <si>
    <t>Femme</t>
  </si>
  <si>
    <t>data</t>
  </si>
  <si>
    <t>Fi</t>
  </si>
  <si>
    <t>en</t>
  </si>
  <si>
    <t>male</t>
  </si>
  <si>
    <t>Male</t>
  </si>
  <si>
    <t>Homme</t>
  </si>
  <si>
    <t>Gason</t>
  </si>
  <si>
    <t>false()</t>
  </si>
  <si>
    <t>boy_girl</t>
  </si>
  <si>
    <t>Girl</t>
  </si>
  <si>
    <t>Fille</t>
  </si>
  <si>
    <t>Ti fi</t>
  </si>
  <si>
    <t>Boy</t>
  </si>
  <si>
    <t>Garçon</t>
  </si>
  <si>
    <t>Ti gason</t>
  </si>
  <si>
    <t>select_dob_method</t>
  </si>
  <si>
    <t>approx</t>
  </si>
  <si>
    <t>user</t>
  </si>
  <si>
    <t>Date of birth unknown</t>
  </si>
  <si>
    <t>Date de naissance inconnue</t>
  </si>
  <si>
    <t>Dat nesans enkoni</t>
  </si>
  <si>
    <t>roles</t>
  </si>
  <si>
    <t>program_officer</t>
  </si>
  <si>
    <t>string</t>
  </si>
  <si>
    <t>contact_id</t>
  </si>
  <si>
    <t>Contact ID of the logged in user</t>
  </si>
  <si>
    <t>Identifiant du contact</t>
  </si>
  <si>
    <t>Program Officer</t>
  </si>
  <si>
    <t>Idantifyan kontak itilizatè a</t>
  </si>
  <si>
    <t>Chargé de programme</t>
  </si>
  <si>
    <t>Ofisye Pwogram nan</t>
  </si>
  <si>
    <t>facility_id</t>
  </si>
  <si>
    <t>Place ID of the logged in user</t>
  </si>
  <si>
    <t>Identifiant du centre</t>
  </si>
  <si>
    <t>Idantifyan sant lan</t>
  </si>
  <si>
    <t>nurse</t>
  </si>
  <si>
    <t>Nurse</t>
  </si>
  <si>
    <t>Infirmière</t>
  </si>
  <si>
    <t>Enfimyè</t>
  </si>
  <si>
    <t>Name of the logged in user</t>
  </si>
  <si>
    <t>Nom</t>
  </si>
  <si>
    <t>Non itilizatè a</t>
  </si>
  <si>
    <t>che</t>
  </si>
  <si>
    <t>Community Health Entrepreneur</t>
  </si>
  <si>
    <t>hidden</t>
  </si>
  <si>
    <t>end group</t>
  </si>
  <si>
    <t>Antreprenè Sante Kominotè</t>
  </si>
  <si>
    <t>nurse_supervisor</t>
  </si>
  <si>
    <t>Nurse Supervisor</t>
  </si>
  <si>
    <t>Infirmière superviseure</t>
  </si>
  <si>
    <t>Sipèvizè Enfimyè</t>
  </si>
  <si>
    <t>patient</t>
  </si>
  <si>
    <t>Patient</t>
  </si>
  <si>
    <t>Pasyan</t>
  </si>
  <si>
    <t>init</t>
  </si>
  <si>
    <t>other</t>
  </si>
  <si>
    <t>Other</t>
  </si>
  <si>
    <t>Autre</t>
  </si>
  <si>
    <t>Lòt</t>
  </si>
  <si>
    <t>Cannot be inside the person group without having all fields saved to person. And needs separate db-objects because cannot have one that handles the different place types. Last part is now incorrect... as long as it is read only it could be a string of appearance db-object and work fine.</t>
  </si>
  <si>
    <t>place_type</t>
  </si>
  <si>
    <t>district_hospital</t>
  </si>
  <si>
    <t>Country Department</t>
  </si>
  <si>
    <t>parent_id</t>
  </si>
  <si>
    <t>Belongs To</t>
  </si>
  <si>
    <t>Associé avec</t>
  </si>
  <si>
    <t>Asosye ak</t>
  </si>
  <si>
    <t>select-contact</t>
  </si>
  <si>
    <t>${parent}</t>
  </si>
  <si>
    <t>${type_label}</t>
  </si>
  <si>
    <t>Depatman peyi a</t>
  </si>
  <si>
    <t>health_center</t>
  </si>
  <si>
    <t>Supervisor Region</t>
  </si>
  <si>
    <t>Rejyon sipèvizyon</t>
  </si>
  <si>
    <t>clinic</t>
  </si>
  <si>
    <t>Nurse Zone</t>
  </si>
  <si>
    <t>Zòn enfimyè</t>
  </si>
  <si>
    <t>chronic_conditions</t>
  </si>
  <si>
    <t>hypertension</t>
  </si>
  <si>
    <t>Hypertension</t>
  </si>
  <si>
    <t>select_one place_type</t>
  </si>
  <si>
    <t>type_selector</t>
  </si>
  <si>
    <t>diabetes</t>
  </si>
  <si>
    <t>Diabetes</t>
  </si>
  <si>
    <t>../type</t>
  </si>
  <si>
    <t>previous_stroke</t>
  </si>
  <si>
    <t>Previous Stroke</t>
  </si>
  <si>
    <t>calculate</t>
  </si>
  <si>
    <t>type_label</t>
  </si>
  <si>
    <t>asthma</t>
  </si>
  <si>
    <t>Asthma</t>
  </si>
  <si>
    <t>jr:choice-name(${type_selector},'${type_selector}')</t>
  </si>
  <si>
    <t>none</t>
  </si>
  <si>
    <t>None of the above</t>
  </si>
  <si>
    <t>person</t>
  </si>
  <si>
    <t>parent</t>
  </si>
  <si>
    <t>Parent ID</t>
  </si>
  <si>
    <t>identifiant du parent</t>
  </si>
  <si>
    <t>Idantifyan paran</t>
  </si>
  <si>
    <t>PARENT</t>
  </si>
  <si>
    <t>Person Type</t>
  </si>
  <si>
    <t>Type</t>
  </si>
  <si>
    <t>Kalite moun</t>
  </si>
  <si>
    <t>Full name</t>
  </si>
  <si>
    <t>Non konplè</t>
  </si>
  <si>
    <t>yes</t>
  </si>
  <si>
    <t>short_name</t>
  </si>
  <si>
    <t>Short name</t>
  </si>
  <si>
    <t>Nom court</t>
  </si>
  <si>
    <t>Ti non</t>
  </si>
  <si>
    <t>no</t>
  </si>
  <si>
    <t>string-length(.) &lt;= 10</t>
  </si>
  <si>
    <t>Short name can not be more than 10 characters long.</t>
  </si>
  <si>
    <t>Le nom court ne doit pas dépasser 10 caractères.</t>
  </si>
  <si>
    <t>Ti non an pa dwe depase 10 karaktè.</t>
  </si>
  <si>
    <t>Please enter a short name that is preferred by the person.</t>
  </si>
  <si>
    <t>Veuillez entrer un nom court préféré par la personne.</t>
  </si>
  <si>
    <t>Tanpri antre yon ti non moun nan prefere.</t>
  </si>
  <si>
    <t>date_of_birth</t>
  </si>
  <si>
    <t>../ephemeral_dob/dob_iso</t>
  </si>
  <si>
    <t>date_of_birth_method</t>
  </si>
  <si>
    <t>../ephemeral_dob/dob_method</t>
  </si>
  <si>
    <t>ephemeral_dob</t>
  </si>
  <si>
    <t>date</t>
  </si>
  <si>
    <t>dob_calendar</t>
  </si>
  <si>
    <t>Age</t>
  </si>
  <si>
    <t>Âge</t>
  </si>
  <si>
    <t>Laj</t>
  </si>
  <si>
    <t>not(selected(../dob_method,'approx'))</t>
  </si>
  <si>
    <t>. &lt;= now()</t>
  </si>
  <si>
    <t>Date must be before today</t>
  </si>
  <si>
    <t>La date doit être antérieure à aujourd'hui</t>
  </si>
  <si>
    <t>Dat la dwe anvan jodi a</t>
  </si>
  <si>
    <t>Date of Birth</t>
  </si>
  <si>
    <t>Date de naissance</t>
  </si>
  <si>
    <t>Dat nesans</t>
  </si>
  <si>
    <t>note</t>
  </si>
  <si>
    <t>age_label</t>
  </si>
  <si>
    <t>**Please enter date of birth**</t>
  </si>
  <si>
    <t>**Veuillez entrer la date de naissance**</t>
  </si>
  <si>
    <t>**Tanpri antre dat nesans la**</t>
  </si>
  <si>
    <t>selected(../dob_method,'approx')</t>
  </si>
  <si>
    <t>integer</t>
  </si>
  <si>
    <t>age_years</t>
  </si>
  <si>
    <t>Years</t>
  </si>
  <si>
    <t>Années</t>
  </si>
  <si>
    <t>Ane</t>
  </si>
  <si>
    <t>. &gt;= 0 and . &lt;= 130</t>
  </si>
  <si>
    <t>Age must be between 0 and 130</t>
  </si>
  <si>
    <t>L'âge doit être compris entre 0 et 130</t>
  </si>
  <si>
    <t>Laj la dwe ant 0 ak 130</t>
  </si>
  <si>
    <t>age_months</t>
  </si>
  <si>
    <t>Months</t>
  </si>
  <si>
    <t>Mois</t>
  </si>
  <si>
    <t>Mwa</t>
  </si>
  <si>
    <t>. &gt;= 0 and . &lt;= 11</t>
  </si>
  <si>
    <t>Months must between 0 and 11</t>
  </si>
  <si>
    <t>Le nombre de mois doit être compris entre 0 et 11</t>
  </si>
  <si>
    <t>Mwa yo dwe ant 0 ak 11</t>
  </si>
  <si>
    <t>select_multiple select_dob_method</t>
  </si>
  <si>
    <t>dob_method</t>
  </si>
  <si>
    <t>DELETE_THIS_LINE</t>
  </si>
  <si>
    <t>columns</t>
  </si>
  <si>
    <t>dob_approx</t>
  </si>
  <si>
    <t>add-date(today(), 0-${age_years}, 0-${age_months})</t>
  </si>
  <si>
    <t>dob_raw</t>
  </si>
  <si>
    <t>if(not(selected( ${dob_method},'approx')), 
${dob_calendar},
${dob_approx})</t>
  </si>
  <si>
    <t>dob_iso</t>
  </si>
  <si>
    <t>format-date-time(../dob_raw,"%Y-%m-%d")</t>
  </si>
  <si>
    <t>dob_debug</t>
  </si>
  <si>
    <t>DOB Approx: ${dob_approx}
DOB Calendar: ${dob_calendar}
DOB ISO: ${dob_iso}</t>
  </si>
  <si>
    <t>select_one male_female</t>
  </si>
  <si>
    <t>sex</t>
  </si>
  <si>
    <t>Sex</t>
  </si>
  <si>
    <t>Sexe</t>
  </si>
  <si>
    <t>Sèks</t>
  </si>
  <si>
    <t>tel</t>
  </si>
  <si>
    <t>phone</t>
  </si>
  <si>
    <t>Phone Number</t>
  </si>
  <si>
    <t>Téléphone</t>
  </si>
  <si>
    <t>Nimewo telefòn</t>
  </si>
  <si>
    <t>true()</t>
  </si>
  <si>
    <t>Please enter a valid local number, or use the standard international format, which includes a plus sign (+) and country code. For example: +254712345678</t>
  </si>
  <si>
    <t>Veuillez entrer un numéro local valide ou utiliser le format international standard, qui comprend un signe plus (+) et le code du pays. Par exemple: +254712345678</t>
  </si>
  <si>
    <t>Tanpri antre yon nimewo lokal ki valab, oswa itilize fòma entènasyonal estanda a, ki gen ladan yon siy plis (+) ak kòd peyi a. Pa egzanp: +254712345678</t>
  </si>
  <si>
    <t>phone_alternate</t>
  </si>
  <si>
    <t>Alternate Phone Number</t>
  </si>
  <si>
    <t>Téléphone alternatif</t>
  </si>
  <si>
    <t>Lòt nimewo telefòn</t>
  </si>
  <si>
    <t>select_one roles</t>
  </si>
  <si>
    <t>role</t>
  </si>
  <si>
    <t>Role</t>
  </si>
  <si>
    <t>Rôle</t>
  </si>
  <si>
    <t>Wòl</t>
  </si>
  <si>
    <t>if(selected(${roles}, 'che'), . = 'patient' or . = 'other', if(selected(${roles}, 'nurse'), . = 'che' or . = 'patient' or . = 'other', if(selected(${roles}, 'nurse_supervisor'), . = 'nurse' or . = 'che' or . = 'patient' or . = 'other', true())))</t>
  </si>
  <si>
    <t>Select the role that best suits this person</t>
  </si>
  <si>
    <t>Sélectionnez le rôle qui convient le mieux à cette personne</t>
  </si>
  <si>
    <t>Chwazi wòl ki pi byen koresponn ak moun sa a</t>
  </si>
  <si>
    <t>role_other</t>
  </si>
  <si>
    <t>Specify other</t>
  </si>
  <si>
    <t>Autre rôle</t>
  </si>
  <si>
    <t>Presize lòt</t>
  </si>
  <si>
    <t>selected( ${role},'other')</t>
  </si>
  <si>
    <t>select_multiple chronic_conditions</t>
  </si>
  <si>
    <t>**Select all that the person has previously been diagnosed with**</t>
  </si>
  <si>
    <t>chronic_hypertension</t>
  </si>
  <si>
    <t>selected(${chronic_conditions}, 'hypertension')</t>
  </si>
  <si>
    <t>chronic_diabetes</t>
  </si>
  <si>
    <t>selected(${chronic_conditions}, 'diabetes')</t>
  </si>
  <si>
    <t>chronic_stroke</t>
  </si>
  <si>
    <t>selected(${chronic_conditions}, 'previous_stroke')</t>
  </si>
  <si>
    <t>chronic_asthma</t>
  </si>
  <si>
    <t>selected(${chronic_conditions}, 'asthma')</t>
  </si>
  <si>
    <t>external_id</t>
  </si>
  <si>
    <t>External ID</t>
  </si>
  <si>
    <t>Identifiant externe</t>
  </si>
  <si>
    <t>Idantifyan ekstèn</t>
  </si>
  <si>
    <t>notes</t>
  </si>
  <si>
    <t>Notes</t>
  </si>
  <si>
    <t>Nòt</t>
  </si>
  <si>
    <t>multiline</t>
  </si>
  <si>
    <t>user_for_contact</t>
  </si>
  <si>
    <t>create</t>
  </si>
  <si>
    <t>${phone} != '' and (selected( ${role},'chw') or selected( ${role},'chw_supervisor'))</t>
  </si>
  <si>
    <t>meta</t>
  </si>
  <si>
    <t>created_by</t>
  </si>
  <si>
    <t>../../../inputs/user/name</t>
  </si>
  <si>
    <t>created_by_person_uuid</t>
  </si>
  <si>
    <t>../../../inputs/user/contact_id</t>
  </si>
  <si>
    <t>created_by_place_uuid</t>
  </si>
  <si>
    <t>../../../inputs/user/facility_id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</si>
</sst>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1" fillId="2" fontId="1" numFmtId="0" xfId="0" applyBorder="1" applyFill="1" applyFont="1"/>
    <xf borderId="0" fillId="0" fontId="2" numFmtId="0" xfId="0" applyFont="1"/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1" fillId="3" fontId="1" numFmtId="0" xfId="0" applyBorder="1" applyFill="1" applyFont="1"/>
    <xf borderId="1" fillId="2" fontId="3" numFmtId="0" xfId="0" applyBorder="1" applyFill="1" applyFont="1"/>
    <xf borderId="1" fillId="4" fontId="3" numFmtId="0" xfId="0" applyBorder="1" applyFill="1" applyFont="1"/>
    <xf borderId="0" fillId="0" fontId="3" numFmtId="49" xfId="0" applyFont="1" applyNumberFormat="1"/>
    <xf borderId="1" fillId="5" fontId="3" numFmtId="0" xfId="0" applyBorder="1" applyFill="1" applyFont="1"/>
    <xf borderId="1" fillId="5" fontId="3" numFmtId="0" xfId="0" applyAlignment="1" applyBorder="1" applyFill="1" applyFont="1">
      <alignment readingOrder="0"/>
    </xf>
    <xf borderId="0" fillId="5" fontId="3" numFmtId="0" xfId="0" applyFill="1" applyFont="1"/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vertical="bottom"/>
    </xf>
    <xf borderId="0" fillId="0" fontId="4" numFmtId="0" xfId="0" applyAlignment="1" applyFont="1">
      <alignment readingOrder="0" vertical="bottom"/>
    </xf>
    <xf borderId="1" fillId="4" fontId="4" numFmtId="0" xfId="0" applyAlignment="1" applyBorder="1" applyFill="1" applyFont="1">
      <alignment vertical="bottom"/>
    </xf>
    <xf borderId="1" fillId="5" fontId="4" numFmtId="0" xfId="0" applyAlignment="1" applyBorder="1" applyFill="1" applyFont="1">
      <alignment vertical="bottom"/>
    </xf>
    <xf borderId="1" fillId="5" fontId="4" numFmtId="0" xfId="0" applyAlignment="1" applyBorder="1" applyFill="1" applyFont="1">
      <alignment readingOrder="0" vertical="bottom"/>
    </xf>
    <xf borderId="1" fillId="0" fontId="4" numFmtId="0" xfId="0" applyAlignment="1" applyBorder="1" applyFont="1">
      <alignment vertical="bottom"/>
    </xf>
    <xf borderId="1" fillId="5" fontId="3" numFmtId="0" xfId="0" applyAlignment="1" applyBorder="1" applyFill="1" applyFont="1">
      <alignment horizontal="left"/>
    </xf>
    <xf borderId="0" fillId="2" fontId="3" numFmtId="0" xfId="0" applyFill="1" applyFont="1"/>
    <xf borderId="1" fillId="3" fontId="3" numFmtId="0" xfId="0" applyBorder="1" applyFill="1" applyFont="1"/>
    <xf borderId="1" fillId="6" fontId="3" numFmtId="0" xfId="0" applyBorder="1" applyFill="1" applyFont="1"/>
    <xf borderId="1" fillId="2" fontId="3" numFmtId="0" xfId="0" applyAlignment="1" applyBorder="1" applyFill="1" applyFont="1">
      <alignment readingOrder="0"/>
    </xf>
    <xf borderId="1" fillId="2" fontId="5" numFmtId="0" xfId="0" applyBorder="1" applyFill="1" applyFont="1"/>
    <xf borderId="1" fillId="2" fontId="4" numFmtId="0" xfId="0" applyBorder="1" applyFill="1" applyFont="1"/>
    <xf borderId="1" fillId="2" fontId="4" numFmtId="0" xfId="0" applyAlignment="1" applyBorder="1" applyFill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1" fillId="6" fontId="3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1.43"/>
    <col customWidth="1" min="2" max="2" width="22.43"/>
    <col customWidth="1" min="3" max="3" width="44.71"/>
    <col customWidth="1" min="4" max="5" width="13.71"/>
    <col customWidth="1" min="6" max="6" width="8.71"/>
    <col customWidth="1" min="7" max="7" width="14.29"/>
    <col customWidth="1" min="8" max="8" width="12.29"/>
    <col customWidth="1" min="9" max="9" width="10.71"/>
    <col customWidth="1" min="10" max="10" width="8.71"/>
    <col customWidth="1" min="11" max="11" width="18.14"/>
    <col customWidth="1" min="12" max="13" width="22.57"/>
    <col customWidth="1" min="14" max="14" width="36.71"/>
    <col customWidth="1" min="15" max="15" width="8.71"/>
    <col customWidth="1" min="16" max="16" width="34.86"/>
    <col customWidth="1" min="17" max="20" width="8.71"/>
    <col customWidth="1" min="21" max="21" width="15.71"/>
    <col customWidth="1" min="22" max="38" width="8.71"/>
  </cols>
  <sheetData>
    <row r="1" ht="14.25" customHeight="1">
      <c r="A1" s="1" t="s">
        <v>0</v>
      </c>
      <c r="B1" s="1" t="s">
        <v>3</v>
      </c>
      <c r="C1" s="1" t="s">
        <v>5</v>
      </c>
      <c r="D1" s="3" t="s">
        <v>10</v>
      </c>
      <c r="E1" s="5" t="s">
        <v>12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8" t="s">
        <v>20</v>
      </c>
      <c r="L1" s="3" t="s">
        <v>23</v>
      </c>
      <c r="M1" s="5" t="s">
        <v>24</v>
      </c>
      <c r="N1" s="1" t="s">
        <v>26</v>
      </c>
      <c r="O1" s="1" t="s">
        <v>27</v>
      </c>
      <c r="P1" s="1" t="s">
        <v>28</v>
      </c>
      <c r="Q1" s="3" t="s">
        <v>29</v>
      </c>
      <c r="R1" s="5" t="s">
        <v>30</v>
      </c>
      <c r="S1" s="1" t="s">
        <v>31</v>
      </c>
    </row>
    <row r="2" ht="14.25" customHeight="1">
      <c r="A2" s="10" t="s">
        <v>33</v>
      </c>
      <c r="B2" s="10" t="s">
        <v>37</v>
      </c>
      <c r="C2" s="12" t="s">
        <v>41</v>
      </c>
      <c r="D2" s="13" t="s">
        <v>41</v>
      </c>
      <c r="E2" s="13" t="s">
        <v>41</v>
      </c>
      <c r="F2" s="12"/>
      <c r="G2" s="12" t="s">
        <v>50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4"/>
      <c r="AH2" s="14"/>
      <c r="AI2" s="14"/>
      <c r="AJ2" s="14"/>
      <c r="AK2" s="14"/>
      <c r="AL2" s="14"/>
    </row>
    <row r="3" ht="14.25" customHeight="1">
      <c r="A3" s="10" t="s">
        <v>33</v>
      </c>
      <c r="B3" s="10" t="s">
        <v>60</v>
      </c>
      <c r="C3" s="12" t="s">
        <v>41</v>
      </c>
      <c r="D3" s="13" t="s">
        <v>41</v>
      </c>
      <c r="E3" s="13" t="s">
        <v>41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4"/>
      <c r="AH3" s="14"/>
      <c r="AI3" s="14"/>
      <c r="AJ3" s="14"/>
      <c r="AK3" s="14"/>
      <c r="AL3" s="14"/>
    </row>
    <row r="4" ht="14.25" customHeight="1">
      <c r="A4" s="10" t="s">
        <v>66</v>
      </c>
      <c r="B4" s="10" t="s">
        <v>67</v>
      </c>
      <c r="C4" s="12" t="s">
        <v>68</v>
      </c>
      <c r="D4" s="13" t="s">
        <v>69</v>
      </c>
      <c r="E4" s="13" t="s">
        <v>71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4"/>
      <c r="AH4" s="14"/>
      <c r="AI4" s="14"/>
      <c r="AJ4" s="14"/>
      <c r="AK4" s="14"/>
      <c r="AL4" s="14"/>
    </row>
    <row r="5" ht="14.25" customHeight="1">
      <c r="A5" s="10" t="s">
        <v>66</v>
      </c>
      <c r="B5" s="10" t="s">
        <v>74</v>
      </c>
      <c r="C5" s="12" t="s">
        <v>75</v>
      </c>
      <c r="D5" s="13" t="s">
        <v>76</v>
      </c>
      <c r="E5" s="13" t="s">
        <v>77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4"/>
      <c r="AH5" s="14"/>
      <c r="AI5" s="14"/>
      <c r="AJ5" s="14"/>
      <c r="AK5" s="14"/>
      <c r="AL5" s="14"/>
    </row>
    <row r="6" ht="14.25" customHeight="1">
      <c r="A6" s="10" t="s">
        <v>66</v>
      </c>
      <c r="B6" s="10" t="s">
        <v>3</v>
      </c>
      <c r="C6" s="12" t="s">
        <v>82</v>
      </c>
      <c r="D6" s="13" t="s">
        <v>83</v>
      </c>
      <c r="E6" s="13" t="s">
        <v>84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4"/>
      <c r="AH6" s="14"/>
      <c r="AI6" s="14"/>
      <c r="AJ6" s="14"/>
      <c r="AK6" s="14"/>
      <c r="AL6" s="14"/>
    </row>
    <row r="7" ht="14.25" customHeight="1">
      <c r="A7" s="22" t="s">
        <v>87</v>
      </c>
      <c r="B7" s="22" t="s">
        <v>64</v>
      </c>
      <c r="C7" s="23" t="s">
        <v>41</v>
      </c>
      <c r="D7" s="24" t="s">
        <v>41</v>
      </c>
      <c r="E7" s="24" t="s">
        <v>41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 ht="14.25" customHeight="1">
      <c r="A8" s="10" t="s">
        <v>88</v>
      </c>
      <c r="B8" s="10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4"/>
      <c r="AH8" s="14"/>
      <c r="AI8" s="14"/>
      <c r="AJ8" s="14"/>
      <c r="AK8" s="14"/>
      <c r="AL8" s="14"/>
    </row>
    <row r="9" ht="14.25" customHeight="1">
      <c r="A9" s="10" t="s">
        <v>88</v>
      </c>
      <c r="B9" s="10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4"/>
      <c r="AH9" s="14"/>
      <c r="AI9" s="14"/>
      <c r="AJ9" s="14"/>
      <c r="AK9" s="14"/>
      <c r="AL9" s="14"/>
    </row>
    <row r="10" ht="14.25" customHeight="1">
      <c r="A10" s="10" t="s">
        <v>33</v>
      </c>
      <c r="B10" s="10" t="s">
        <v>97</v>
      </c>
      <c r="C10" s="12" t="s">
        <v>41</v>
      </c>
      <c r="D10" s="13" t="s">
        <v>41</v>
      </c>
      <c r="E10" s="13" t="s">
        <v>41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 t="s">
        <v>102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4"/>
      <c r="AH10" s="14"/>
      <c r="AI10" s="14"/>
      <c r="AJ10" s="14"/>
      <c r="AK10" s="14"/>
      <c r="AL10" s="14"/>
    </row>
    <row r="11" ht="14.25" customHeight="1">
      <c r="A11" s="10" t="s">
        <v>66</v>
      </c>
      <c r="B11" s="10" t="s">
        <v>106</v>
      </c>
      <c r="C11" s="12" t="s">
        <v>107</v>
      </c>
      <c r="D11" s="13" t="s">
        <v>108</v>
      </c>
      <c r="E11" s="13" t="s">
        <v>109</v>
      </c>
      <c r="F11" s="12"/>
      <c r="G11" s="12"/>
      <c r="H11" s="12" t="s">
        <v>110</v>
      </c>
      <c r="I11" s="12" t="s">
        <v>21</v>
      </c>
      <c r="J11" s="12"/>
      <c r="K11" s="12"/>
      <c r="L11" s="12"/>
      <c r="M11" s="12"/>
      <c r="N11" s="12" t="s">
        <v>111</v>
      </c>
      <c r="O11" s="12"/>
      <c r="P11" s="12" t="s">
        <v>112</v>
      </c>
      <c r="Q11" s="13" t="s">
        <v>112</v>
      </c>
      <c r="R11" s="13" t="s">
        <v>112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4"/>
      <c r="AH11" s="14"/>
      <c r="AI11" s="14"/>
      <c r="AJ11" s="14"/>
      <c r="AK11" s="14"/>
      <c r="AL11" s="14"/>
    </row>
    <row r="12" ht="14.25" customHeight="1">
      <c r="A12" s="10" t="s">
        <v>66</v>
      </c>
      <c r="B12" s="10" t="s">
        <v>3</v>
      </c>
      <c r="C12" s="12" t="s">
        <v>41</v>
      </c>
      <c r="D12" s="13" t="s">
        <v>41</v>
      </c>
      <c r="E12" s="13" t="s">
        <v>41</v>
      </c>
      <c r="F12" s="12"/>
      <c r="G12" s="12"/>
      <c r="H12" s="12" t="s">
        <v>87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4"/>
      <c r="AH12" s="14"/>
      <c r="AI12" s="14"/>
      <c r="AJ12" s="14"/>
      <c r="AK12" s="14"/>
      <c r="AL12" s="14"/>
    </row>
    <row r="13" ht="14.25" customHeight="1">
      <c r="A13" s="10" t="s">
        <v>66</v>
      </c>
      <c r="B13" s="10" t="s">
        <v>0</v>
      </c>
      <c r="C13" s="12" t="s">
        <v>41</v>
      </c>
      <c r="D13" s="13" t="s">
        <v>41</v>
      </c>
      <c r="E13" s="13" t="s">
        <v>41</v>
      </c>
      <c r="F13" s="12"/>
      <c r="G13" s="12"/>
      <c r="H13" s="12" t="s">
        <v>87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4"/>
      <c r="AH13" s="14"/>
      <c r="AI13" s="14"/>
      <c r="AJ13" s="14"/>
      <c r="AK13" s="14"/>
      <c r="AL13" s="14"/>
    </row>
    <row r="14" ht="14.25" customHeight="1">
      <c r="A14" s="10" t="s">
        <v>123</v>
      </c>
      <c r="B14" s="10" t="s">
        <v>124</v>
      </c>
      <c r="C14" s="12" t="s">
        <v>41</v>
      </c>
      <c r="D14" s="13" t="s">
        <v>41</v>
      </c>
      <c r="E14" s="13" t="s">
        <v>41</v>
      </c>
      <c r="F14" s="12"/>
      <c r="G14" s="12"/>
      <c r="H14" s="12" t="s">
        <v>87</v>
      </c>
      <c r="I14" s="12"/>
      <c r="J14" s="12"/>
      <c r="K14" s="12"/>
      <c r="L14" s="12"/>
      <c r="M14" s="12"/>
      <c r="N14" s="26" t="s">
        <v>127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4"/>
      <c r="AH14" s="14"/>
      <c r="AI14" s="14"/>
      <c r="AJ14" s="14"/>
      <c r="AK14" s="14"/>
      <c r="AL14" s="14"/>
    </row>
    <row r="15" ht="14.25" customHeight="1">
      <c r="A15" s="10" t="s">
        <v>130</v>
      </c>
      <c r="B15" s="10" t="s">
        <v>131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 t="s">
        <v>134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4"/>
      <c r="AH15" s="14"/>
      <c r="AI15" s="14"/>
      <c r="AJ15" s="14"/>
      <c r="AK15" s="14"/>
      <c r="AL15" s="14"/>
    </row>
    <row r="16" ht="14.25" customHeight="1">
      <c r="A16" s="10" t="s">
        <v>88</v>
      </c>
      <c r="B16" s="10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4"/>
      <c r="AH16" s="14"/>
      <c r="AI16" s="14"/>
      <c r="AJ16" s="14"/>
      <c r="AK16" s="14"/>
      <c r="AL16" s="14"/>
    </row>
    <row r="17" ht="14.25" customHeight="1">
      <c r="D17" s="9"/>
      <c r="E17" s="27"/>
      <c r="K17" s="28"/>
      <c r="L17" s="9"/>
      <c r="M17" s="27"/>
      <c r="Q17" s="9"/>
      <c r="R17" s="27"/>
    </row>
    <row r="18" ht="14.25" customHeight="1">
      <c r="A18" s="29" t="s">
        <v>33</v>
      </c>
      <c r="B18" s="29" t="s">
        <v>137</v>
      </c>
      <c r="C18" s="9" t="s">
        <v>41</v>
      </c>
      <c r="D18" s="30" t="s">
        <v>41</v>
      </c>
      <c r="E18" s="30" t="s">
        <v>41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27"/>
      <c r="AH18" s="27"/>
      <c r="AI18" s="27"/>
      <c r="AJ18" s="27"/>
      <c r="AK18" s="27"/>
      <c r="AL18" s="27"/>
    </row>
    <row r="19" ht="14.25" customHeight="1">
      <c r="A19" s="29" t="s">
        <v>87</v>
      </c>
      <c r="B19" s="29" t="s">
        <v>138</v>
      </c>
      <c r="C19" s="9" t="s">
        <v>139</v>
      </c>
      <c r="D19" s="30" t="s">
        <v>140</v>
      </c>
      <c r="E19" s="30" t="s">
        <v>141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 t="s">
        <v>142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27"/>
      <c r="AH19" s="27"/>
      <c r="AI19" s="27"/>
      <c r="AJ19" s="27"/>
      <c r="AK19" s="27"/>
      <c r="AL19" s="27"/>
    </row>
    <row r="20" ht="14.25" customHeight="1">
      <c r="A20" s="29" t="s">
        <v>87</v>
      </c>
      <c r="B20" s="29" t="s">
        <v>0</v>
      </c>
      <c r="C20" s="9" t="s">
        <v>143</v>
      </c>
      <c r="D20" s="30" t="s">
        <v>144</v>
      </c>
      <c r="E20" s="30" t="s">
        <v>145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">
        <v>137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27"/>
      <c r="AH20" s="27"/>
      <c r="AI20" s="27"/>
      <c r="AJ20" s="27"/>
      <c r="AK20" s="27"/>
      <c r="AL20" s="27"/>
    </row>
    <row r="21" ht="14.25" customHeight="1">
      <c r="A21" s="29" t="s">
        <v>66</v>
      </c>
      <c r="B21" s="29" t="s">
        <v>3</v>
      </c>
      <c r="C21" s="9" t="s">
        <v>146</v>
      </c>
      <c r="D21" s="30" t="s">
        <v>83</v>
      </c>
      <c r="E21" s="30" t="s">
        <v>147</v>
      </c>
      <c r="F21" s="9" t="s">
        <v>148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27"/>
      <c r="AH21" s="27"/>
      <c r="AI21" s="27"/>
      <c r="AJ21" s="27"/>
      <c r="AK21" s="27"/>
      <c r="AL21" s="27"/>
    </row>
    <row r="22" ht="14.25" customHeight="1">
      <c r="A22" s="29" t="s">
        <v>66</v>
      </c>
      <c r="B22" s="29" t="s">
        <v>149</v>
      </c>
      <c r="C22" s="9" t="s">
        <v>150</v>
      </c>
      <c r="D22" s="30" t="s">
        <v>151</v>
      </c>
      <c r="E22" s="30" t="s">
        <v>152</v>
      </c>
      <c r="F22" s="9" t="s">
        <v>153</v>
      </c>
      <c r="G22" s="9"/>
      <c r="H22" s="9"/>
      <c r="I22" s="9"/>
      <c r="J22" s="9" t="s">
        <v>154</v>
      </c>
      <c r="K22" s="9" t="s">
        <v>155</v>
      </c>
      <c r="L22" s="30" t="s">
        <v>156</v>
      </c>
      <c r="M22" s="30" t="s">
        <v>157</v>
      </c>
      <c r="N22" s="9"/>
      <c r="O22" s="9"/>
      <c r="P22" s="31" t="s">
        <v>158</v>
      </c>
      <c r="Q22" s="30" t="s">
        <v>159</v>
      </c>
      <c r="R22" s="30" t="s">
        <v>160</v>
      </c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27"/>
      <c r="AH22" s="27"/>
      <c r="AI22" s="27"/>
      <c r="AJ22" s="27"/>
      <c r="AK22" s="27"/>
      <c r="AL22" s="27"/>
    </row>
    <row r="23" ht="14.25" customHeight="1">
      <c r="A23" s="29" t="s">
        <v>130</v>
      </c>
      <c r="B23" s="29" t="s">
        <v>161</v>
      </c>
      <c r="C23" s="32"/>
      <c r="D23" s="32"/>
      <c r="E23" s="32"/>
      <c r="F23" s="9" t="s">
        <v>148</v>
      </c>
      <c r="G23" s="9"/>
      <c r="H23" s="9"/>
      <c r="I23" s="9"/>
      <c r="J23" s="9"/>
      <c r="K23" s="9"/>
      <c r="L23" s="9"/>
      <c r="M23" s="9"/>
      <c r="N23" s="9" t="s">
        <v>162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27"/>
      <c r="AH23" s="27"/>
      <c r="AI23" s="27"/>
      <c r="AJ23" s="27"/>
      <c r="AK23" s="27"/>
      <c r="AL23" s="27"/>
    </row>
    <row r="24" ht="14.25" customHeight="1">
      <c r="A24" s="29" t="s">
        <v>130</v>
      </c>
      <c r="B24" s="29" t="s">
        <v>163</v>
      </c>
      <c r="C24" s="32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164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7"/>
      <c r="AH24" s="27"/>
      <c r="AI24" s="27"/>
      <c r="AJ24" s="27"/>
      <c r="AK24" s="27"/>
      <c r="AL24" s="27"/>
    </row>
    <row r="25" ht="14.25" customHeight="1">
      <c r="A25" s="29" t="s">
        <v>33</v>
      </c>
      <c r="B25" s="29" t="s">
        <v>165</v>
      </c>
      <c r="C25" s="9" t="s">
        <v>41</v>
      </c>
      <c r="D25" s="30" t="s">
        <v>41</v>
      </c>
      <c r="E25" s="30" t="s">
        <v>41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27"/>
      <c r="AH25" s="27"/>
      <c r="AI25" s="27"/>
      <c r="AJ25" s="27"/>
      <c r="AK25" s="27"/>
      <c r="AL25" s="27"/>
    </row>
    <row r="26" ht="14.25" customHeight="1">
      <c r="A26" s="29" t="s">
        <v>166</v>
      </c>
      <c r="B26" s="29" t="s">
        <v>167</v>
      </c>
      <c r="C26" s="9" t="s">
        <v>168</v>
      </c>
      <c r="D26" s="30" t="s">
        <v>169</v>
      </c>
      <c r="E26" s="30" t="s">
        <v>170</v>
      </c>
      <c r="F26" s="9" t="s">
        <v>148</v>
      </c>
      <c r="G26" s="9" t="s">
        <v>171</v>
      </c>
      <c r="H26" s="9"/>
      <c r="I26" s="9"/>
      <c r="J26" s="9" t="s">
        <v>172</v>
      </c>
      <c r="K26" s="9" t="s">
        <v>173</v>
      </c>
      <c r="L26" s="30" t="s">
        <v>174</v>
      </c>
      <c r="M26" s="30" t="s">
        <v>175</v>
      </c>
      <c r="N26" s="9"/>
      <c r="O26" s="9"/>
      <c r="P26" s="9" t="s">
        <v>176</v>
      </c>
      <c r="Q26" s="30" t="s">
        <v>177</v>
      </c>
      <c r="R26" s="30" t="s">
        <v>178</v>
      </c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27"/>
      <c r="AH26" s="27"/>
      <c r="AI26" s="27"/>
      <c r="AJ26" s="27"/>
      <c r="AK26" s="27"/>
      <c r="AL26" s="27"/>
    </row>
    <row r="27" ht="14.25" customHeight="1">
      <c r="A27" s="29" t="s">
        <v>179</v>
      </c>
      <c r="B27" s="29" t="s">
        <v>180</v>
      </c>
      <c r="C27" s="9" t="s">
        <v>181</v>
      </c>
      <c r="D27" s="30" t="s">
        <v>182</v>
      </c>
      <c r="E27" s="30" t="s">
        <v>183</v>
      </c>
      <c r="F27" s="9"/>
      <c r="G27" s="9" t="s">
        <v>184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27"/>
      <c r="AH27" s="27"/>
      <c r="AI27" s="27"/>
      <c r="AJ27" s="27"/>
      <c r="AK27" s="27"/>
      <c r="AL27" s="27"/>
    </row>
    <row r="28" ht="14.25" customHeight="1">
      <c r="A28" s="29" t="s">
        <v>185</v>
      </c>
      <c r="B28" s="29" t="s">
        <v>186</v>
      </c>
      <c r="C28" s="9" t="s">
        <v>187</v>
      </c>
      <c r="D28" s="30" t="s">
        <v>188</v>
      </c>
      <c r="E28" s="30" t="s">
        <v>189</v>
      </c>
      <c r="F28" s="9" t="s">
        <v>148</v>
      </c>
      <c r="G28" s="9" t="s">
        <v>184</v>
      </c>
      <c r="H28" s="9"/>
      <c r="I28" s="9"/>
      <c r="J28" s="9" t="s">
        <v>190</v>
      </c>
      <c r="K28" s="9" t="s">
        <v>191</v>
      </c>
      <c r="L28" s="30" t="s">
        <v>192</v>
      </c>
      <c r="M28" s="30" t="s">
        <v>193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27"/>
      <c r="AH28" s="27"/>
      <c r="AI28" s="27"/>
      <c r="AJ28" s="27"/>
      <c r="AK28" s="27"/>
      <c r="AL28" s="27"/>
    </row>
    <row r="29" ht="14.25" customHeight="1">
      <c r="A29" s="29" t="s">
        <v>185</v>
      </c>
      <c r="B29" s="29" t="s">
        <v>194</v>
      </c>
      <c r="C29" s="9" t="s">
        <v>195</v>
      </c>
      <c r="D29" s="30" t="s">
        <v>196</v>
      </c>
      <c r="E29" s="30" t="s">
        <v>197</v>
      </c>
      <c r="F29" s="9"/>
      <c r="G29" s="9" t="s">
        <v>184</v>
      </c>
      <c r="H29" s="9"/>
      <c r="I29" s="9"/>
      <c r="J29" s="9" t="s">
        <v>198</v>
      </c>
      <c r="K29" s="9" t="s">
        <v>199</v>
      </c>
      <c r="L29" s="30" t="s">
        <v>200</v>
      </c>
      <c r="M29" s="30" t="s">
        <v>201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27"/>
      <c r="AH29" s="27"/>
      <c r="AI29" s="27"/>
      <c r="AJ29" s="27"/>
      <c r="AK29" s="27"/>
      <c r="AL29" s="27"/>
    </row>
    <row r="30" ht="14.25" customHeight="1">
      <c r="A30" s="29" t="s">
        <v>202</v>
      </c>
      <c r="B30" s="29" t="s">
        <v>203</v>
      </c>
      <c r="C30" s="9" t="s">
        <v>204</v>
      </c>
      <c r="D30" s="9"/>
      <c r="E30" s="9"/>
      <c r="F30" s="9"/>
      <c r="G30" s="9"/>
      <c r="H30" s="9" t="s">
        <v>205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27"/>
      <c r="AH30" s="27"/>
      <c r="AI30" s="27"/>
      <c r="AJ30" s="27"/>
      <c r="AK30" s="27"/>
      <c r="AL30" s="27"/>
    </row>
    <row r="31" ht="14.25" customHeight="1">
      <c r="A31" s="29" t="s">
        <v>130</v>
      </c>
      <c r="B31" s="29" t="s">
        <v>206</v>
      </c>
      <c r="C31" s="32"/>
      <c r="D31" s="9"/>
      <c r="E31" s="9"/>
      <c r="F31" s="9"/>
      <c r="G31" s="9"/>
      <c r="H31" s="9"/>
      <c r="I31" s="9"/>
      <c r="J31" s="9"/>
      <c r="K31" s="9"/>
      <c r="L31" s="9"/>
      <c r="M31" s="9"/>
      <c r="N31" s="32" t="s">
        <v>207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27"/>
      <c r="AH31" s="27"/>
      <c r="AI31" s="27"/>
      <c r="AJ31" s="27"/>
      <c r="AK31" s="27"/>
      <c r="AL31" s="27"/>
    </row>
    <row r="32" ht="14.25" customHeight="1">
      <c r="A32" s="29" t="s">
        <v>130</v>
      </c>
      <c r="B32" s="29" t="s">
        <v>208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33" t="s">
        <v>209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27"/>
      <c r="AH32" s="27"/>
      <c r="AI32" s="27"/>
      <c r="AJ32" s="27"/>
      <c r="AK32" s="27"/>
      <c r="AL32" s="27"/>
    </row>
    <row r="33" ht="14.25" customHeight="1">
      <c r="A33" s="29" t="s">
        <v>130</v>
      </c>
      <c r="B33" s="29" t="s">
        <v>210</v>
      </c>
      <c r="C33" s="32"/>
      <c r="D33" s="9"/>
      <c r="E33" s="9"/>
      <c r="F33" s="9"/>
      <c r="G33" s="9"/>
      <c r="H33" s="9"/>
      <c r="I33" s="9"/>
      <c r="J33" s="9"/>
      <c r="K33" s="9"/>
      <c r="L33" s="9"/>
      <c r="M33" s="9"/>
      <c r="N33" s="9" t="s">
        <v>211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27"/>
      <c r="AH33" s="27"/>
      <c r="AI33" s="27"/>
      <c r="AJ33" s="27"/>
      <c r="AK33" s="27"/>
      <c r="AL33" s="27"/>
    </row>
    <row r="34" ht="14.25" customHeight="1">
      <c r="A34" s="29" t="s">
        <v>179</v>
      </c>
      <c r="B34" s="29" t="s">
        <v>212</v>
      </c>
      <c r="C34" s="34" t="s">
        <v>213</v>
      </c>
      <c r="D34" s="9"/>
      <c r="E34" s="9"/>
      <c r="F34" s="9"/>
      <c r="G34" s="9" t="s">
        <v>50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27"/>
      <c r="AH34" s="27"/>
      <c r="AI34" s="27"/>
      <c r="AJ34" s="27"/>
      <c r="AK34" s="27"/>
      <c r="AL34" s="27"/>
    </row>
    <row r="35" ht="14.25" customHeight="1">
      <c r="A35" s="29" t="s">
        <v>88</v>
      </c>
      <c r="B35" s="2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27"/>
      <c r="AH35" s="27"/>
      <c r="AI35" s="27"/>
      <c r="AJ35" s="27"/>
      <c r="AK35" s="27"/>
      <c r="AL35" s="27"/>
    </row>
    <row r="36" ht="14.25" customHeight="1">
      <c r="A36" s="29" t="s">
        <v>214</v>
      </c>
      <c r="B36" s="29" t="s">
        <v>215</v>
      </c>
      <c r="C36" s="9" t="s">
        <v>216</v>
      </c>
      <c r="D36" s="30" t="s">
        <v>217</v>
      </c>
      <c r="E36" s="30" t="s">
        <v>218</v>
      </c>
      <c r="F36" s="9" t="s">
        <v>148</v>
      </c>
      <c r="G36" s="9"/>
      <c r="H36" s="9" t="s">
        <v>205</v>
      </c>
      <c r="I36" s="9"/>
      <c r="J36" s="30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27"/>
      <c r="AH36" s="27"/>
      <c r="AI36" s="27"/>
      <c r="AJ36" s="27"/>
      <c r="AK36" s="27"/>
      <c r="AL36" s="27"/>
    </row>
    <row r="37" ht="14.25" customHeight="1">
      <c r="A37" s="29" t="s">
        <v>219</v>
      </c>
      <c r="B37" s="29" t="s">
        <v>220</v>
      </c>
      <c r="C37" s="9" t="s">
        <v>221</v>
      </c>
      <c r="D37" s="30" t="s">
        <v>222</v>
      </c>
      <c r="E37" s="30" t="s">
        <v>223</v>
      </c>
      <c r="F37" s="9"/>
      <c r="G37" s="9"/>
      <c r="H37" s="9"/>
      <c r="I37" s="9"/>
      <c r="J37" s="9" t="s">
        <v>224</v>
      </c>
      <c r="K37" s="9" t="s">
        <v>225</v>
      </c>
      <c r="L37" s="30" t="s">
        <v>226</v>
      </c>
      <c r="M37" s="30" t="s">
        <v>227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27"/>
      <c r="AH37" s="27"/>
      <c r="AI37" s="27"/>
      <c r="AJ37" s="27"/>
      <c r="AK37" s="27"/>
      <c r="AL37" s="27"/>
    </row>
    <row r="38" ht="14.25" customHeight="1">
      <c r="A38" s="29" t="s">
        <v>219</v>
      </c>
      <c r="B38" s="29" t="s">
        <v>228</v>
      </c>
      <c r="C38" s="9" t="s">
        <v>229</v>
      </c>
      <c r="D38" s="30" t="s">
        <v>230</v>
      </c>
      <c r="E38" s="30" t="s">
        <v>231</v>
      </c>
      <c r="F38" s="9"/>
      <c r="G38" s="9"/>
      <c r="H38" s="9"/>
      <c r="I38" s="9"/>
      <c r="J38" s="9" t="s">
        <v>224</v>
      </c>
      <c r="K38" s="9" t="s">
        <v>225</v>
      </c>
      <c r="L38" s="30" t="s">
        <v>226</v>
      </c>
      <c r="M38" s="30" t="s">
        <v>227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27"/>
      <c r="AH38" s="27"/>
      <c r="AI38" s="27"/>
      <c r="AJ38" s="27"/>
      <c r="AK38" s="27"/>
      <c r="AL38" s="27"/>
    </row>
    <row r="39" ht="14.25" customHeight="1">
      <c r="A39" s="29" t="s">
        <v>232</v>
      </c>
      <c r="B39" s="29" t="s">
        <v>233</v>
      </c>
      <c r="C39" s="9" t="s">
        <v>234</v>
      </c>
      <c r="D39" s="30" t="s">
        <v>235</v>
      </c>
      <c r="E39" s="30" t="s">
        <v>236</v>
      </c>
      <c r="F39" s="9"/>
      <c r="G39" s="9"/>
      <c r="H39" s="9"/>
      <c r="I39" s="9"/>
      <c r="J39" s="30" t="s">
        <v>237</v>
      </c>
      <c r="K39" s="9"/>
      <c r="L39" s="9"/>
      <c r="M39" s="9"/>
      <c r="N39" s="9"/>
      <c r="O39" s="9"/>
      <c r="P39" s="9" t="s">
        <v>238</v>
      </c>
      <c r="Q39" s="30" t="s">
        <v>239</v>
      </c>
      <c r="R39" s="30" t="s">
        <v>240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27"/>
      <c r="AH39" s="27"/>
      <c r="AI39" s="27"/>
      <c r="AJ39" s="27"/>
      <c r="AK39" s="27"/>
      <c r="AL39" s="27"/>
    </row>
    <row r="40" ht="14.25" customHeight="1">
      <c r="A40" s="29" t="s">
        <v>66</v>
      </c>
      <c r="B40" s="29" t="s">
        <v>241</v>
      </c>
      <c r="C40" s="9" t="s">
        <v>242</v>
      </c>
      <c r="D40" s="30" t="s">
        <v>243</v>
      </c>
      <c r="E40" s="30" t="s">
        <v>244</v>
      </c>
      <c r="F40" s="9" t="s">
        <v>148</v>
      </c>
      <c r="G40" s="9" t="s">
        <v>245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27"/>
      <c r="AH40" s="27"/>
      <c r="AI40" s="27"/>
      <c r="AJ40" s="27"/>
      <c r="AK40" s="27"/>
      <c r="AL40" s="27"/>
    </row>
    <row r="41" ht="14.25" customHeight="1">
      <c r="A41" s="35" t="s">
        <v>246</v>
      </c>
      <c r="B41" s="35" t="s">
        <v>120</v>
      </c>
      <c r="C41" s="30" t="s">
        <v>247</v>
      </c>
      <c r="D41" s="36" t="str">
        <f>IFERROR(__xludf.DUMMYFUNCTION("GOOGLETRANSLATE(C41,""en"",""fr"")"),"**Sélectionnez tous les diagnostics antérieurs de la personne.**")</f>
        <v>**Sélectionnez tous les diagnostics antérieurs de la personne.**</v>
      </c>
      <c r="E41" s="36" t="str">
        <f>IFERROR(__xludf.DUMMYFUNCTION("GOOGLETRANSLATE(C41,""en"",""ht"")"),"**Chwazi tout sa moun nan te deja dyagnostike avèk yo**")</f>
        <v>**Chwazi tout sa moun nan te deja dyagnostike avèk yo**</v>
      </c>
      <c r="F41" s="30" t="s">
        <v>148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27"/>
      <c r="AH41" s="27"/>
      <c r="AI41" s="27"/>
      <c r="AJ41" s="27"/>
      <c r="AK41" s="27"/>
      <c r="AL41" s="27"/>
    </row>
    <row r="42" ht="14.25" customHeight="1">
      <c r="A42" s="35" t="s">
        <v>130</v>
      </c>
      <c r="B42" s="35" t="s">
        <v>248</v>
      </c>
      <c r="C42" s="30" t="s">
        <v>41</v>
      </c>
      <c r="D42" s="36"/>
      <c r="E42" s="36"/>
      <c r="F42" s="30"/>
      <c r="G42" s="9"/>
      <c r="H42" s="9"/>
      <c r="I42" s="9"/>
      <c r="J42" s="9"/>
      <c r="K42" s="9"/>
      <c r="L42" s="9"/>
      <c r="M42" s="9"/>
      <c r="N42" s="30" t="s">
        <v>249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27"/>
      <c r="AH42" s="27"/>
      <c r="AI42" s="27"/>
      <c r="AJ42" s="27"/>
      <c r="AK42" s="27"/>
      <c r="AL42" s="27"/>
    </row>
    <row r="43" ht="14.25" customHeight="1">
      <c r="A43" s="35" t="s">
        <v>130</v>
      </c>
      <c r="B43" s="35" t="s">
        <v>250</v>
      </c>
      <c r="C43" s="30" t="s">
        <v>41</v>
      </c>
      <c r="D43" s="36"/>
      <c r="E43" s="36"/>
      <c r="F43" s="30"/>
      <c r="G43" s="9"/>
      <c r="H43" s="9"/>
      <c r="I43" s="9"/>
      <c r="J43" s="9"/>
      <c r="K43" s="9"/>
      <c r="L43" s="9"/>
      <c r="M43" s="9"/>
      <c r="N43" s="30" t="s">
        <v>251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27"/>
      <c r="AH43" s="27"/>
      <c r="AI43" s="27"/>
      <c r="AJ43" s="27"/>
      <c r="AK43" s="27"/>
      <c r="AL43" s="27"/>
    </row>
    <row r="44" ht="14.25" customHeight="1">
      <c r="A44" s="35" t="s">
        <v>130</v>
      </c>
      <c r="B44" s="35" t="s">
        <v>252</v>
      </c>
      <c r="C44" s="30" t="s">
        <v>41</v>
      </c>
      <c r="D44" s="36"/>
      <c r="E44" s="36"/>
      <c r="F44" s="30"/>
      <c r="G44" s="9"/>
      <c r="H44" s="9"/>
      <c r="I44" s="9"/>
      <c r="J44" s="9"/>
      <c r="K44" s="9"/>
      <c r="L44" s="9"/>
      <c r="M44" s="9"/>
      <c r="N44" s="30" t="s">
        <v>253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27"/>
      <c r="AH44" s="27"/>
      <c r="AI44" s="27"/>
      <c r="AJ44" s="27"/>
      <c r="AK44" s="27"/>
      <c r="AL44" s="27"/>
    </row>
    <row r="45" ht="14.25" customHeight="1">
      <c r="A45" s="35" t="s">
        <v>130</v>
      </c>
      <c r="B45" s="35" t="s">
        <v>254</v>
      </c>
      <c r="C45" s="30" t="s">
        <v>41</v>
      </c>
      <c r="D45" s="36"/>
      <c r="E45" s="36"/>
      <c r="F45" s="30"/>
      <c r="G45" s="9"/>
      <c r="H45" s="9"/>
      <c r="I45" s="9"/>
      <c r="J45" s="9"/>
      <c r="K45" s="9"/>
      <c r="L45" s="9"/>
      <c r="M45" s="9"/>
      <c r="N45" s="30" t="s">
        <v>255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27"/>
      <c r="AH45" s="27"/>
      <c r="AI45" s="27"/>
      <c r="AJ45" s="27"/>
      <c r="AK45" s="27"/>
      <c r="AL45" s="27"/>
    </row>
    <row r="46" ht="14.25" customHeight="1">
      <c r="A46" s="29" t="s">
        <v>66</v>
      </c>
      <c r="B46" s="29" t="s">
        <v>256</v>
      </c>
      <c r="C46" s="9" t="s">
        <v>257</v>
      </c>
      <c r="D46" s="30" t="s">
        <v>258</v>
      </c>
      <c r="E46" s="30" t="s">
        <v>259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27"/>
      <c r="AH46" s="27"/>
      <c r="AI46" s="27"/>
      <c r="AJ46" s="27"/>
      <c r="AK46" s="27"/>
      <c r="AL46" s="27"/>
    </row>
    <row r="47" ht="14.25" customHeight="1">
      <c r="A47" s="29" t="s">
        <v>66</v>
      </c>
      <c r="B47" s="29" t="s">
        <v>260</v>
      </c>
      <c r="C47" s="9" t="s">
        <v>261</v>
      </c>
      <c r="D47" s="30" t="s">
        <v>261</v>
      </c>
      <c r="E47" s="30" t="s">
        <v>262</v>
      </c>
      <c r="F47" s="9"/>
      <c r="G47" s="9"/>
      <c r="H47" s="9" t="s">
        <v>263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27"/>
      <c r="AH47" s="27"/>
      <c r="AI47" s="27"/>
      <c r="AJ47" s="27"/>
      <c r="AK47" s="27"/>
      <c r="AL47" s="27"/>
    </row>
    <row r="48" ht="14.25" customHeight="1">
      <c r="A48" s="29" t="s">
        <v>33</v>
      </c>
      <c r="B48" s="29" t="s">
        <v>264</v>
      </c>
      <c r="C48" s="9" t="s">
        <v>41</v>
      </c>
      <c r="D48" s="9" t="s">
        <v>41</v>
      </c>
      <c r="E48" s="30" t="s">
        <v>41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27"/>
      <c r="AH48" s="27"/>
      <c r="AI48" s="27"/>
      <c r="AJ48" s="27"/>
      <c r="AK48" s="27"/>
      <c r="AL48" s="27"/>
    </row>
    <row r="49" ht="14.25" customHeight="1">
      <c r="A49" s="29" t="s">
        <v>130</v>
      </c>
      <c r="B49" s="29" t="s">
        <v>265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 t="s">
        <v>266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27"/>
      <c r="AH49" s="27"/>
      <c r="AI49" s="27"/>
      <c r="AJ49" s="27"/>
      <c r="AK49" s="27"/>
      <c r="AL49" s="27"/>
    </row>
    <row r="50" ht="14.25" customHeight="1">
      <c r="A50" s="29" t="s">
        <v>88</v>
      </c>
      <c r="B50" s="2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27"/>
      <c r="AH50" s="27"/>
      <c r="AI50" s="27"/>
      <c r="AJ50" s="27"/>
      <c r="AK50" s="27"/>
      <c r="AL50" s="27"/>
    </row>
    <row r="51" ht="14.25" customHeight="1">
      <c r="A51" s="29" t="s">
        <v>33</v>
      </c>
      <c r="B51" s="29" t="s">
        <v>267</v>
      </c>
      <c r="C51" s="9" t="s">
        <v>41</v>
      </c>
      <c r="D51" s="9" t="s">
        <v>41</v>
      </c>
      <c r="E51" s="30" t="s">
        <v>41</v>
      </c>
      <c r="F51" s="9"/>
      <c r="G51" s="9"/>
      <c r="H51" s="9" t="s">
        <v>87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27"/>
      <c r="AH51" s="27"/>
      <c r="AI51" s="27"/>
      <c r="AJ51" s="27"/>
      <c r="AK51" s="27"/>
      <c r="AL51" s="27"/>
    </row>
    <row r="52" ht="14.25" customHeight="1">
      <c r="A52" s="29" t="s">
        <v>130</v>
      </c>
      <c r="B52" s="29" t="s">
        <v>268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 t="s">
        <v>269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27"/>
      <c r="AH52" s="27"/>
      <c r="AI52" s="27"/>
      <c r="AJ52" s="27"/>
      <c r="AK52" s="27"/>
      <c r="AL52" s="27"/>
    </row>
    <row r="53" ht="14.25" customHeight="1">
      <c r="A53" s="29" t="s">
        <v>130</v>
      </c>
      <c r="B53" s="29" t="s">
        <v>270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 t="s">
        <v>271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27"/>
      <c r="AH53" s="27"/>
      <c r="AI53" s="27"/>
      <c r="AJ53" s="27"/>
      <c r="AK53" s="27"/>
      <c r="AL53" s="27"/>
    </row>
    <row r="54" ht="14.25" customHeight="1">
      <c r="A54" s="29" t="s">
        <v>130</v>
      </c>
      <c r="B54" s="29" t="s">
        <v>272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 t="s">
        <v>273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27"/>
      <c r="AH54" s="27"/>
      <c r="AI54" s="27"/>
      <c r="AJ54" s="27"/>
      <c r="AK54" s="27"/>
      <c r="AL54" s="27"/>
    </row>
    <row r="55" ht="14.25" customHeight="1">
      <c r="A55" s="29" t="s">
        <v>88</v>
      </c>
      <c r="B55" s="2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27"/>
      <c r="AH55" s="27"/>
      <c r="AI55" s="27"/>
      <c r="AJ55" s="27"/>
      <c r="AK55" s="27"/>
      <c r="AL55" s="27"/>
    </row>
    <row r="56" ht="14.25" customHeight="1">
      <c r="A56" s="29" t="s">
        <v>88</v>
      </c>
      <c r="B56" s="2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27"/>
      <c r="AH56" s="27"/>
      <c r="AI56" s="27"/>
      <c r="AJ56" s="27"/>
      <c r="AK56" s="27"/>
      <c r="AL56" s="27"/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6.29"/>
    <col customWidth="1" min="3" max="3" width="28.71"/>
    <col customWidth="1" min="4" max="4" width="13.71"/>
    <col customWidth="1" min="5" max="21" width="14.29"/>
  </cols>
  <sheetData>
    <row r="1" ht="14.25" customHeight="1">
      <c r="A1" s="2" t="s">
        <v>2</v>
      </c>
      <c r="B1" s="2" t="s">
        <v>3</v>
      </c>
      <c r="C1" s="2" t="s">
        <v>5</v>
      </c>
      <c r="D1" s="3" t="s">
        <v>10</v>
      </c>
      <c r="E1" s="6" t="s">
        <v>12</v>
      </c>
    </row>
    <row r="2" ht="14.25" customHeight="1">
      <c r="A2" s="7" t="s">
        <v>19</v>
      </c>
      <c r="B2" s="7" t="s">
        <v>21</v>
      </c>
      <c r="C2" s="7" t="s">
        <v>22</v>
      </c>
      <c r="D2" s="9" t="s">
        <v>25</v>
      </c>
      <c r="E2" s="6" t="s">
        <v>32</v>
      </c>
    </row>
    <row r="3" ht="14.25" customHeight="1">
      <c r="A3" s="7" t="s">
        <v>19</v>
      </c>
      <c r="B3" s="7" t="s">
        <v>34</v>
      </c>
      <c r="C3" s="7" t="s">
        <v>35</v>
      </c>
      <c r="D3" s="9" t="s">
        <v>36</v>
      </c>
      <c r="E3" s="6" t="s">
        <v>36</v>
      </c>
    </row>
    <row r="4" ht="14.25" customHeight="1">
      <c r="A4" s="7" t="s">
        <v>38</v>
      </c>
      <c r="B4" s="7" t="s">
        <v>39</v>
      </c>
      <c r="C4" s="7" t="s">
        <v>40</v>
      </c>
      <c r="D4" s="9" t="s">
        <v>42</v>
      </c>
      <c r="E4" s="6" t="s">
        <v>44</v>
      </c>
    </row>
    <row r="5" ht="14.25" customHeight="1">
      <c r="A5" s="7" t="s">
        <v>38</v>
      </c>
      <c r="B5" s="7" t="s">
        <v>46</v>
      </c>
      <c r="C5" s="7" t="s">
        <v>47</v>
      </c>
      <c r="D5" s="9" t="s">
        <v>48</v>
      </c>
      <c r="E5" s="6" t="s">
        <v>49</v>
      </c>
    </row>
    <row r="6" ht="14.25" customHeight="1">
      <c r="A6" s="7" t="s">
        <v>51</v>
      </c>
      <c r="B6" s="7" t="s">
        <v>39</v>
      </c>
      <c r="C6" s="7" t="s">
        <v>52</v>
      </c>
      <c r="D6" s="9" t="s">
        <v>53</v>
      </c>
      <c r="E6" s="6" t="s">
        <v>54</v>
      </c>
    </row>
    <row r="7" ht="14.25" customHeight="1">
      <c r="A7" s="7" t="s">
        <v>51</v>
      </c>
      <c r="B7" s="7" t="s">
        <v>46</v>
      </c>
      <c r="C7" s="7" t="s">
        <v>55</v>
      </c>
      <c r="D7" s="9" t="s">
        <v>56</v>
      </c>
      <c r="E7" s="6" t="s">
        <v>57</v>
      </c>
    </row>
    <row r="8" ht="14.25" customHeight="1">
      <c r="A8" s="4" t="s">
        <v>58</v>
      </c>
      <c r="B8" s="15" t="s">
        <v>59</v>
      </c>
      <c r="C8" s="16" t="s">
        <v>61</v>
      </c>
      <c r="D8" s="9" t="s">
        <v>62</v>
      </c>
      <c r="E8" s="6" t="s">
        <v>63</v>
      </c>
    </row>
    <row r="9" ht="14.25" customHeight="1">
      <c r="A9" s="17" t="s">
        <v>64</v>
      </c>
      <c r="B9" s="18" t="s">
        <v>65</v>
      </c>
      <c r="C9" s="19" t="s">
        <v>70</v>
      </c>
      <c r="D9" s="20" t="s">
        <v>72</v>
      </c>
      <c r="E9" s="21" t="s">
        <v>73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ht="14.25" customHeight="1">
      <c r="A10" s="17" t="s">
        <v>64</v>
      </c>
      <c r="B10" s="18" t="s">
        <v>78</v>
      </c>
      <c r="C10" s="19" t="s">
        <v>79</v>
      </c>
      <c r="D10" s="20" t="s">
        <v>80</v>
      </c>
      <c r="E10" s="21" t="s">
        <v>81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ht="14.25" customHeight="1">
      <c r="A11" s="17" t="s">
        <v>64</v>
      </c>
      <c r="B11" s="18" t="s">
        <v>85</v>
      </c>
      <c r="C11" s="19" t="s">
        <v>86</v>
      </c>
      <c r="D11" s="20" t="str">
        <f>IFERROR(__xludf.DUMMYFUNCTION("GOOGLETRANSLATE(C11, ""en"", ""fr"")"),"Entrepreneur en santé communautaire")</f>
        <v>Entrepreneur en santé communautaire</v>
      </c>
      <c r="E11" s="21" t="s">
        <v>89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ht="14.25" customHeight="1">
      <c r="A12" s="17" t="s">
        <v>64</v>
      </c>
      <c r="B12" s="18" t="s">
        <v>90</v>
      </c>
      <c r="C12" s="19" t="s">
        <v>91</v>
      </c>
      <c r="D12" s="20" t="s">
        <v>92</v>
      </c>
      <c r="E12" s="21" t="s">
        <v>93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ht="14.25" customHeight="1">
      <c r="A13" s="17" t="s">
        <v>64</v>
      </c>
      <c r="B13" s="17" t="s">
        <v>94</v>
      </c>
      <c r="C13" s="17" t="s">
        <v>95</v>
      </c>
      <c r="D13" s="20" t="s">
        <v>95</v>
      </c>
      <c r="E13" s="21" t="s">
        <v>96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ht="14.25" customHeight="1">
      <c r="A14" s="17" t="s">
        <v>64</v>
      </c>
      <c r="B14" s="18" t="s">
        <v>98</v>
      </c>
      <c r="C14" s="19" t="s">
        <v>99</v>
      </c>
      <c r="D14" s="20" t="s">
        <v>100</v>
      </c>
      <c r="E14" s="21" t="s">
        <v>101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14.25" customHeight="1">
      <c r="A15" s="4" t="s">
        <v>103</v>
      </c>
      <c r="B15" s="15" t="s">
        <v>104</v>
      </c>
      <c r="C15" s="19" t="s">
        <v>105</v>
      </c>
      <c r="D15" s="20" t="str">
        <f>IFERROR(__xludf.DUMMYFUNCTION("GOOGLETRANSLATE(C15, ""en"", ""fr"")"),"Département du pays")</f>
        <v>Département du pays</v>
      </c>
      <c r="E15" s="6" t="s">
        <v>113</v>
      </c>
    </row>
    <row r="16" ht="14.25" customHeight="1">
      <c r="A16" s="4" t="s">
        <v>103</v>
      </c>
      <c r="B16" s="15" t="s">
        <v>114</v>
      </c>
      <c r="C16" s="19" t="s">
        <v>115</v>
      </c>
      <c r="D16" s="20" t="str">
        <f>IFERROR(__xludf.DUMMYFUNCTION("GOOGLETRANSLATE(C16, ""en"", ""fr"")"),"Région de supervision")</f>
        <v>Région de supervision</v>
      </c>
      <c r="E16" s="6" t="s">
        <v>116</v>
      </c>
    </row>
    <row r="17" ht="14.25" customHeight="1">
      <c r="A17" s="4" t="s">
        <v>103</v>
      </c>
      <c r="B17" s="15" t="s">
        <v>117</v>
      </c>
      <c r="C17" s="19" t="s">
        <v>118</v>
      </c>
      <c r="D17" s="20" t="str">
        <f>IFERROR(__xludf.DUMMYFUNCTION("GOOGLETRANSLATE(C17, ""en"", ""fr"")"),"Zone infirmière")</f>
        <v>Zone infirmière</v>
      </c>
      <c r="E17" s="6" t="s">
        <v>119</v>
      </c>
    </row>
    <row r="18" ht="14.25" customHeight="1">
      <c r="A18" s="6" t="s">
        <v>120</v>
      </c>
      <c r="B18" s="6" t="s">
        <v>121</v>
      </c>
      <c r="C18" s="6" t="s">
        <v>122</v>
      </c>
      <c r="D18" s="20" t="str">
        <f>IFERROR(__xludf.DUMMYFUNCTION("GOOGLETRANSLATE(C18, ""en"", ""fr"")"),"Hypertension")</f>
        <v>Hypertension</v>
      </c>
      <c r="E18" s="25" t="str">
        <f>IFERROR(__xludf.DUMMYFUNCTION("GOOGLETRANSLATE(C18, ""en"", ""ht"")"),"Ipètansyon")</f>
        <v>Ipètansyon</v>
      </c>
    </row>
    <row r="19" ht="14.25" customHeight="1">
      <c r="A19" s="6" t="s">
        <v>120</v>
      </c>
      <c r="B19" s="6" t="s">
        <v>125</v>
      </c>
      <c r="C19" s="6" t="s">
        <v>126</v>
      </c>
      <c r="D19" s="20" t="str">
        <f>IFERROR(__xludf.DUMMYFUNCTION("GOOGLETRANSLATE(C19, ""en"", ""fr"")"),"Diabète")</f>
        <v>Diabète</v>
      </c>
      <c r="E19" s="25" t="str">
        <f>IFERROR(__xludf.DUMMYFUNCTION("GOOGLETRANSLATE(C19, ""en"", ""ht"")"),"Dyabèt")</f>
        <v>Dyabèt</v>
      </c>
    </row>
    <row r="20" ht="14.25" customHeight="1">
      <c r="A20" s="6" t="s">
        <v>120</v>
      </c>
      <c r="B20" s="6" t="s">
        <v>128</v>
      </c>
      <c r="C20" s="6" t="s">
        <v>129</v>
      </c>
      <c r="D20" s="20" t="str">
        <f>IFERROR(__xludf.DUMMYFUNCTION("GOOGLETRANSLATE(C20, ""en"", ""fr"")"),"AVC antérieur")</f>
        <v>AVC antérieur</v>
      </c>
      <c r="E20" s="25" t="str">
        <f>IFERROR(__xludf.DUMMYFUNCTION("GOOGLETRANSLATE(C20, ""en"", ""ht"")"),"Konjesyon serebral anvan an")</f>
        <v>Konjesyon serebral anvan an</v>
      </c>
    </row>
    <row r="21" ht="14.25" customHeight="1">
      <c r="A21" s="6" t="s">
        <v>120</v>
      </c>
      <c r="B21" s="6" t="s">
        <v>132</v>
      </c>
      <c r="C21" s="6" t="s">
        <v>133</v>
      </c>
      <c r="D21" s="20" t="str">
        <f>IFERROR(__xludf.DUMMYFUNCTION("GOOGLETRANSLATE(C21, ""en"", ""fr"")"),"Asthme")</f>
        <v>Asthme</v>
      </c>
      <c r="E21" s="25" t="str">
        <f>IFERROR(__xludf.DUMMYFUNCTION("GOOGLETRANSLATE(C21, ""en"", ""ht"")"),"Asm")</f>
        <v>Asm</v>
      </c>
    </row>
    <row r="22" ht="14.25" customHeight="1">
      <c r="A22" s="6" t="s">
        <v>120</v>
      </c>
      <c r="B22" s="6" t="s">
        <v>135</v>
      </c>
      <c r="C22" s="6" t="s">
        <v>136</v>
      </c>
      <c r="D22" s="20" t="str">
        <f>IFERROR(__xludf.DUMMYFUNCTION("GOOGLETRANSLATE(C22, ""en"", ""fr"")"),"Aucune des réponses ci-dessus")</f>
        <v>Aucune des réponses ci-dessus</v>
      </c>
      <c r="E22" s="25" t="str">
        <f>IFERROR(__xludf.DUMMYFUNCTION("GOOGLETRANSLATE(C22, ""en"", ""ht"")"),"Okenn nan sa ki anwo yo")</f>
        <v>Okenn nan sa ki anwo yo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43"/>
    <col customWidth="1" min="3" max="3" width="20.43"/>
    <col customWidth="1" min="4" max="6" width="7.71"/>
    <col customWidth="1" min="7" max="26" width="14.29"/>
  </cols>
  <sheetData>
    <row r="1" ht="14.25" customHeight="1">
      <c r="A1" s="1" t="s">
        <v>1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</row>
    <row r="2" ht="14.25" customHeight="1">
      <c r="A2" s="4" t="s">
        <v>11</v>
      </c>
      <c r="B2" s="4" t="s">
        <v>13</v>
      </c>
      <c r="C2" s="11" t="str">
        <f>TEXT(NOW(), "yyyy-mm-dd_HH-MM")</f>
        <v>2026-10-11_17-44</v>
      </c>
      <c r="E2" s="4" t="s">
        <v>43</v>
      </c>
      <c r="F2" s="4" t="s">
        <v>45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landscape"/>
  <drawing r:id="rId1"/>
</worksheet>
</file>